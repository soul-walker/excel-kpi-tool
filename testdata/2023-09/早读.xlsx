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早读" sheetId="2" r:id="rId1"/>
    <sheet name="Sheet3" sheetId="3" r:id="rId2"/>
    <sheet name="Sheet1" sheetId="4" r:id="rId3"/>
    <sheet name="Sheet2" sheetId="5" r:id="rId4"/>
    <sheet name="Sheet2 (3)" sheetId="6" r:id="rId5"/>
  </sheets>
  <definedNames>
    <definedName name="_xlnm._FilterDatabase" localSheetId="0" hidden="1">早读!$A$2:$G$74</definedName>
    <definedName name="_xlnm._FilterDatabase" localSheetId="4" hidden="1">'Sheet2 (3)'!$A$2:$E$58</definedName>
    <definedName name="_xlnm._FilterDatabase" localSheetId="1" hidden="1">Sheet3!$A$1:$B$92</definedName>
  </definedNames>
  <calcPr calcId="144525"/>
</workbook>
</file>

<file path=xl/sharedStrings.xml><?xml version="1.0" encoding="utf-8"?>
<sst xmlns="http://schemas.openxmlformats.org/spreadsheetml/2006/main" count="368" uniqueCount="143">
  <si>
    <t>9月早读统计表（综合按月计在第一列）</t>
  </si>
  <si>
    <t>姓名</t>
  </si>
  <si>
    <t>4-8日</t>
  </si>
  <si>
    <t>11-15日</t>
  </si>
  <si>
    <t>18-22日</t>
  </si>
  <si>
    <t>25-27日</t>
  </si>
  <si>
    <t>合计</t>
  </si>
  <si>
    <t>小计</t>
  </si>
  <si>
    <t>李亚红</t>
  </si>
  <si>
    <t>赵晓俊</t>
  </si>
  <si>
    <t>曹颖</t>
  </si>
  <si>
    <t>高晓琳</t>
  </si>
  <si>
    <t>解凌云</t>
  </si>
  <si>
    <t>杨睿</t>
  </si>
  <si>
    <t>王晓茹</t>
  </si>
  <si>
    <t>雷艳</t>
  </si>
  <si>
    <t>袁萍</t>
  </si>
  <si>
    <t>王泽惠</t>
  </si>
  <si>
    <t>卢宁祥</t>
  </si>
  <si>
    <t>池爱彬</t>
  </si>
  <si>
    <t>汪华锋</t>
  </si>
  <si>
    <t>吕红冰</t>
  </si>
  <si>
    <t>刘楠</t>
  </si>
  <si>
    <t>潘晶</t>
  </si>
  <si>
    <t>张新望</t>
  </si>
  <si>
    <t>方垚</t>
  </si>
  <si>
    <t>贾静</t>
  </si>
  <si>
    <t>山欢</t>
  </si>
  <si>
    <t>李丛丛</t>
  </si>
  <si>
    <t>付冲</t>
  </si>
  <si>
    <t>王波波</t>
  </si>
  <si>
    <t>段洁</t>
  </si>
  <si>
    <t>赵娟</t>
  </si>
  <si>
    <t>刘青</t>
  </si>
  <si>
    <t>张秀利</t>
  </si>
  <si>
    <t>赵雅</t>
  </si>
  <si>
    <t>陶媛</t>
  </si>
  <si>
    <t>金婷</t>
  </si>
  <si>
    <t>魏军超</t>
  </si>
  <si>
    <t>张荣娟</t>
  </si>
  <si>
    <t>张长青</t>
  </si>
  <si>
    <t>韦东</t>
  </si>
  <si>
    <t>姜小鹏</t>
  </si>
  <si>
    <t>肖雅静</t>
  </si>
  <si>
    <t>毕文娟</t>
  </si>
  <si>
    <t>刘一依</t>
  </si>
  <si>
    <t>惠蔚航</t>
  </si>
  <si>
    <t>张永利</t>
  </si>
  <si>
    <t>姜宏</t>
  </si>
  <si>
    <t>王芙蓉</t>
  </si>
  <si>
    <t>冯宏强</t>
  </si>
  <si>
    <t>王铭</t>
  </si>
  <si>
    <t>孙宾</t>
  </si>
  <si>
    <t>屈锦博</t>
  </si>
  <si>
    <t>吴红莲</t>
  </si>
  <si>
    <t>吴玉丹</t>
  </si>
  <si>
    <t>支莹</t>
  </si>
  <si>
    <t>刘欢</t>
  </si>
  <si>
    <t>高蕾</t>
  </si>
  <si>
    <t>张晓玲</t>
  </si>
  <si>
    <t>屈韦圩</t>
  </si>
  <si>
    <t>郑宇蕾</t>
  </si>
  <si>
    <t>刘雅娇</t>
  </si>
  <si>
    <t>赵玲玉</t>
  </si>
  <si>
    <t>卜轩</t>
  </si>
  <si>
    <t>李卓</t>
  </si>
  <si>
    <t>陈晨</t>
  </si>
  <si>
    <t>何濛</t>
  </si>
  <si>
    <t>周阿红</t>
  </si>
  <si>
    <t>代斌</t>
  </si>
  <si>
    <t>康璐</t>
  </si>
  <si>
    <t>刘艳妮</t>
  </si>
  <si>
    <t>朱翠</t>
  </si>
  <si>
    <t>马盼盼</t>
  </si>
  <si>
    <t>范瑞成</t>
  </si>
  <si>
    <t>韩凯利</t>
  </si>
  <si>
    <t>马红红</t>
  </si>
  <si>
    <t>李卓越</t>
  </si>
  <si>
    <t>完</t>
  </si>
  <si>
    <t>早读</t>
  </si>
  <si>
    <t>虎云兵</t>
  </si>
  <si>
    <t>李少波</t>
  </si>
  <si>
    <t>秋军辉</t>
  </si>
  <si>
    <t>曹峰</t>
  </si>
  <si>
    <t>李纯福</t>
  </si>
  <si>
    <t>王艳</t>
  </si>
  <si>
    <t>王峰</t>
  </si>
  <si>
    <t>肖有福</t>
  </si>
  <si>
    <t>薛国庆</t>
  </si>
  <si>
    <t>李琼</t>
  </si>
  <si>
    <t>雷军平</t>
  </si>
  <si>
    <t>张瑶</t>
  </si>
  <si>
    <t>尚小明</t>
  </si>
  <si>
    <t>阎秦安</t>
  </si>
  <si>
    <t>白峰</t>
  </si>
  <si>
    <t>梁建</t>
  </si>
  <si>
    <t>朱亚军</t>
  </si>
  <si>
    <t>梁笛</t>
  </si>
  <si>
    <t>刘梦花</t>
  </si>
  <si>
    <t>刘亚飞</t>
  </si>
  <si>
    <t>贾丹琴</t>
  </si>
  <si>
    <t>张小鸽</t>
  </si>
  <si>
    <t>杨杰</t>
  </si>
  <si>
    <t>吴花茹</t>
  </si>
  <si>
    <t>宋娟宁</t>
  </si>
  <si>
    <t>李粉婷</t>
  </si>
  <si>
    <t>刘艳纯</t>
  </si>
  <si>
    <t>刘耀</t>
  </si>
  <si>
    <t>郑广昌</t>
  </si>
  <si>
    <t>刘怡君</t>
  </si>
  <si>
    <t>李潇茹</t>
  </si>
  <si>
    <t>张煜茜</t>
  </si>
  <si>
    <t>毛珊</t>
  </si>
  <si>
    <t>丁晓宇</t>
  </si>
  <si>
    <t>杨希</t>
  </si>
  <si>
    <t>鲁锋锋</t>
  </si>
  <si>
    <t>李晓</t>
  </si>
  <si>
    <t>张秀丽</t>
  </si>
  <si>
    <t>张晓霞</t>
  </si>
  <si>
    <t>田佳</t>
  </si>
  <si>
    <t>刘银丽</t>
  </si>
  <si>
    <t>A</t>
  </si>
  <si>
    <t>政治
马盼盼</t>
  </si>
  <si>
    <t>地理
屈锦博</t>
  </si>
  <si>
    <t>生物
肖雅静</t>
  </si>
  <si>
    <t>物理
赵娟</t>
  </si>
  <si>
    <t>化学
张荣娟</t>
  </si>
  <si>
    <t>物理
李丛丛</t>
  </si>
  <si>
    <t>物理
吴红莲</t>
  </si>
  <si>
    <t>B</t>
  </si>
  <si>
    <t>历史
刘艳纯</t>
  </si>
  <si>
    <t>化学
周阿红</t>
  </si>
  <si>
    <t>生物
田佳</t>
  </si>
  <si>
    <t>C</t>
  </si>
  <si>
    <t>周一综合早读安排（7:40--8:00）</t>
  </si>
  <si>
    <t>1班</t>
  </si>
  <si>
    <t>2班</t>
  </si>
  <si>
    <t>3班</t>
  </si>
  <si>
    <t>4班</t>
  </si>
  <si>
    <t>5班</t>
  </si>
  <si>
    <t>6班</t>
  </si>
  <si>
    <t>7班</t>
  </si>
  <si>
    <t>综合早读统计表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</si>
</sst>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4" borderId="10" applyNumberFormat="0" applyAlignment="0" applyProtection="0">
      <alignment vertical="center"/>
    </xf>
    <xf numFmtId="0" fontId="24" fillId="14" borderId="9" applyNumberFormat="0" applyAlignment="0" applyProtection="0">
      <alignment vertical="center"/>
    </xf>
    <xf numFmtId="0" fontId="25" fillId="15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2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2" fillId="5" borderId="1" xfId="49" applyFont="1" applyFill="1" applyBorder="1" applyAlignment="1">
      <alignment horizontal="center" vertical="center"/>
    </xf>
    <xf numFmtId="0" fontId="3" fillId="4" borderId="1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0" fillId="0" borderId="0" xfId="0" applyFill="1" applyAlignment="1">
      <alignment vertical="center"/>
    </xf>
    <xf numFmtId="0" fontId="4" fillId="0" borderId="1" xfId="49" applyFont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tabSelected="1" topLeftCell="A65" workbookViewId="0">
      <selection activeCell="E49" sqref="E49"/>
    </sheetView>
  </sheetViews>
  <sheetFormatPr defaultColWidth="8.72222222222222" defaultRowHeight="23.15" customHeight="1" outlineLevelCol="6"/>
  <cols>
    <col min="1" max="7" width="15.7222222222222" customWidth="1"/>
  </cols>
  <sheetData>
    <row r="1" ht="59" customHeight="1" spans="1:7">
      <c r="A1" s="1" t="s">
        <v>0</v>
      </c>
      <c r="B1" s="1"/>
      <c r="C1" s="1"/>
      <c r="D1" s="1"/>
      <c r="E1" s="1"/>
      <c r="F1" s="1"/>
      <c r="G1" s="2"/>
    </row>
    <row r="2" ht="66" customHeight="1" spans="1:7">
      <c r="A2" s="3" t="s">
        <v>1</v>
      </c>
      <c r="B2" s="40" t="s">
        <v>2</v>
      </c>
      <c r="C2" s="41" t="s">
        <v>3</v>
      </c>
      <c r="D2" s="40" t="s">
        <v>4</v>
      </c>
      <c r="E2" s="40" t="s">
        <v>5</v>
      </c>
      <c r="F2" s="42" t="s">
        <v>6</v>
      </c>
      <c r="G2" s="6" t="s">
        <v>7</v>
      </c>
    </row>
    <row r="3" customHeight="1" spans="1:7">
      <c r="A3" s="43" t="s">
        <v>8</v>
      </c>
      <c r="B3" s="3">
        <v>4</v>
      </c>
      <c r="C3" s="3">
        <v>4</v>
      </c>
      <c r="D3" s="3">
        <v>4</v>
      </c>
      <c r="E3" s="3">
        <v>3</v>
      </c>
      <c r="F3" s="3">
        <f>SUM(B3:E3)</f>
        <v>15</v>
      </c>
      <c r="G3" s="3">
        <f>SUBTOTAL(9,B3:E3)*6.5</f>
        <v>97.5</v>
      </c>
    </row>
    <row r="4" customHeight="1" spans="1:7">
      <c r="A4" s="43" t="s">
        <v>9</v>
      </c>
      <c r="B4" s="3">
        <v>4</v>
      </c>
      <c r="C4" s="3">
        <v>4</v>
      </c>
      <c r="D4" s="3">
        <v>4</v>
      </c>
      <c r="E4" s="3">
        <v>3</v>
      </c>
      <c r="F4" s="3">
        <f t="shared" ref="F4:F48" si="0">SUM(B4:E4)</f>
        <v>15</v>
      </c>
      <c r="G4" s="3">
        <f t="shared" ref="G4:G37" si="1">SUBTOTAL(9,B4:E4)*6.5</f>
        <v>97.5</v>
      </c>
    </row>
    <row r="5" customHeight="1" spans="1:7">
      <c r="A5" s="43" t="s">
        <v>10</v>
      </c>
      <c r="B5" s="3">
        <v>4</v>
      </c>
      <c r="C5" s="3">
        <v>4</v>
      </c>
      <c r="D5" s="3">
        <v>4</v>
      </c>
      <c r="E5" s="3">
        <v>3</v>
      </c>
      <c r="F5" s="3">
        <f t="shared" si="0"/>
        <v>15</v>
      </c>
      <c r="G5" s="3">
        <f t="shared" si="1"/>
        <v>97.5</v>
      </c>
    </row>
    <row r="6" customHeight="1" spans="1:7">
      <c r="A6" s="43" t="s">
        <v>11</v>
      </c>
      <c r="B6" s="3">
        <v>2</v>
      </c>
      <c r="C6" s="3">
        <v>2</v>
      </c>
      <c r="D6" s="3">
        <v>2</v>
      </c>
      <c r="E6" s="3">
        <v>3</v>
      </c>
      <c r="F6" s="3">
        <f t="shared" si="0"/>
        <v>9</v>
      </c>
      <c r="G6" s="3">
        <f t="shared" si="1"/>
        <v>58.5</v>
      </c>
    </row>
    <row r="7" customHeight="1" spans="1:7">
      <c r="A7" s="44" t="s">
        <v>12</v>
      </c>
      <c r="B7" s="3">
        <v>4</v>
      </c>
      <c r="C7" s="3">
        <v>4</v>
      </c>
      <c r="D7" s="3">
        <v>4</v>
      </c>
      <c r="E7" s="3">
        <v>2</v>
      </c>
      <c r="F7" s="3">
        <f t="shared" si="0"/>
        <v>14</v>
      </c>
      <c r="G7" s="3">
        <f t="shared" si="1"/>
        <v>91</v>
      </c>
    </row>
    <row r="8" customHeight="1" spans="1:7">
      <c r="A8" s="44" t="s">
        <v>13</v>
      </c>
      <c r="B8" s="3">
        <v>4</v>
      </c>
      <c r="C8" s="3">
        <v>4</v>
      </c>
      <c r="D8" s="3">
        <v>4</v>
      </c>
      <c r="E8" s="3">
        <v>2</v>
      </c>
      <c r="F8" s="3">
        <f t="shared" si="0"/>
        <v>14</v>
      </c>
      <c r="G8" s="3">
        <f t="shared" si="1"/>
        <v>91</v>
      </c>
    </row>
    <row r="9" customHeight="1" spans="1:7">
      <c r="A9" s="44" t="s">
        <v>14</v>
      </c>
      <c r="B9" s="3">
        <v>4</v>
      </c>
      <c r="C9" s="3">
        <v>4</v>
      </c>
      <c r="D9" s="3">
        <v>4</v>
      </c>
      <c r="E9" s="3">
        <v>2</v>
      </c>
      <c r="F9" s="3">
        <f t="shared" si="0"/>
        <v>14</v>
      </c>
      <c r="G9" s="3">
        <f t="shared" si="1"/>
        <v>91</v>
      </c>
    </row>
    <row r="10" customHeight="1" spans="1:7">
      <c r="A10" s="45" t="s">
        <v>15</v>
      </c>
      <c r="B10" s="3">
        <v>4</v>
      </c>
      <c r="C10" s="3">
        <v>4</v>
      </c>
      <c r="D10" s="3">
        <v>4</v>
      </c>
      <c r="E10" s="3">
        <v>3</v>
      </c>
      <c r="F10" s="3">
        <f t="shared" si="0"/>
        <v>15</v>
      </c>
      <c r="G10" s="3">
        <f>SUBTOTAL(9,B10:E10)*10</f>
        <v>150</v>
      </c>
    </row>
    <row r="11" customHeight="1" spans="1:7">
      <c r="A11" s="45" t="s">
        <v>16</v>
      </c>
      <c r="B11" s="3">
        <v>4</v>
      </c>
      <c r="C11" s="3">
        <v>4</v>
      </c>
      <c r="D11" s="3">
        <v>4</v>
      </c>
      <c r="E11" s="3">
        <v>3</v>
      </c>
      <c r="F11" s="3">
        <f t="shared" si="0"/>
        <v>15</v>
      </c>
      <c r="G11" s="3">
        <f>SUBTOTAL(9,B11:E11)*10</f>
        <v>150</v>
      </c>
    </row>
    <row r="12" customHeight="1" spans="1:7">
      <c r="A12" s="45" t="s">
        <v>17</v>
      </c>
      <c r="B12" s="3">
        <v>4</v>
      </c>
      <c r="C12" s="3">
        <v>4</v>
      </c>
      <c r="D12" s="3">
        <v>4</v>
      </c>
      <c r="E12" s="3">
        <v>3</v>
      </c>
      <c r="F12" s="3">
        <f t="shared" si="0"/>
        <v>15</v>
      </c>
      <c r="G12" s="3">
        <f>SUBTOTAL(9,B12:E12)*10</f>
        <v>150</v>
      </c>
    </row>
    <row r="13" customHeight="1" spans="1:7">
      <c r="A13" s="46" t="s">
        <v>18</v>
      </c>
      <c r="B13" s="3">
        <v>4</v>
      </c>
      <c r="C13" s="3">
        <v>4</v>
      </c>
      <c r="D13" s="3">
        <v>4</v>
      </c>
      <c r="E13" s="3">
        <v>2</v>
      </c>
      <c r="F13" s="3">
        <f t="shared" si="0"/>
        <v>14</v>
      </c>
      <c r="G13" s="3">
        <f t="shared" si="1"/>
        <v>91</v>
      </c>
    </row>
    <row r="14" customHeight="1" spans="1:7">
      <c r="A14" s="46" t="s">
        <v>19</v>
      </c>
      <c r="B14" s="3">
        <v>2</v>
      </c>
      <c r="C14" s="3">
        <v>2</v>
      </c>
      <c r="D14" s="3">
        <v>2</v>
      </c>
      <c r="E14" s="3">
        <v>1</v>
      </c>
      <c r="F14" s="3">
        <f t="shared" si="0"/>
        <v>7</v>
      </c>
      <c r="G14" s="3">
        <f t="shared" si="1"/>
        <v>45.5</v>
      </c>
    </row>
    <row r="15" customHeight="1" spans="1:7">
      <c r="A15" s="46" t="s">
        <v>20</v>
      </c>
      <c r="B15" s="3">
        <v>4</v>
      </c>
      <c r="C15" s="3">
        <v>4</v>
      </c>
      <c r="D15" s="3">
        <v>4</v>
      </c>
      <c r="E15" s="3">
        <v>2</v>
      </c>
      <c r="F15" s="3">
        <f t="shared" si="0"/>
        <v>14</v>
      </c>
      <c r="G15" s="3">
        <f t="shared" si="1"/>
        <v>91</v>
      </c>
    </row>
    <row r="16" customHeight="1" spans="1:7">
      <c r="A16" s="44" t="s">
        <v>21</v>
      </c>
      <c r="B16" s="3">
        <v>4</v>
      </c>
      <c r="C16" s="3">
        <v>4</v>
      </c>
      <c r="D16" s="3">
        <v>4</v>
      </c>
      <c r="E16" s="3">
        <v>2</v>
      </c>
      <c r="F16" s="3">
        <f t="shared" si="0"/>
        <v>14</v>
      </c>
      <c r="G16" s="3">
        <f t="shared" si="1"/>
        <v>91</v>
      </c>
    </row>
    <row r="17" customHeight="1" spans="1:7">
      <c r="A17" s="44" t="s">
        <v>22</v>
      </c>
      <c r="B17" s="3">
        <v>4</v>
      </c>
      <c r="C17" s="3">
        <v>4</v>
      </c>
      <c r="D17" s="3">
        <v>4</v>
      </c>
      <c r="E17" s="3">
        <v>2</v>
      </c>
      <c r="F17" s="3">
        <f t="shared" si="0"/>
        <v>14</v>
      </c>
      <c r="G17" s="3">
        <f t="shared" si="1"/>
        <v>91</v>
      </c>
    </row>
    <row r="18" customHeight="1" spans="1:7">
      <c r="A18" s="44" t="s">
        <v>23</v>
      </c>
      <c r="B18" s="3">
        <v>4</v>
      </c>
      <c r="C18" s="3">
        <v>4</v>
      </c>
      <c r="D18" s="3">
        <v>4</v>
      </c>
      <c r="E18" s="3">
        <v>2</v>
      </c>
      <c r="F18" s="3">
        <f t="shared" si="0"/>
        <v>14</v>
      </c>
      <c r="G18" s="3">
        <f t="shared" si="1"/>
        <v>91</v>
      </c>
    </row>
    <row r="19" customHeight="1" spans="1:7">
      <c r="A19" s="45" t="s">
        <v>24</v>
      </c>
      <c r="B19" s="3">
        <v>4</v>
      </c>
      <c r="C19" s="3">
        <v>4</v>
      </c>
      <c r="D19" s="3">
        <v>4</v>
      </c>
      <c r="E19" s="3">
        <v>3</v>
      </c>
      <c r="F19" s="3">
        <f t="shared" si="0"/>
        <v>15</v>
      </c>
      <c r="G19" s="3">
        <f>SUBTOTAL(9,B19:E19)*10</f>
        <v>150</v>
      </c>
    </row>
    <row r="20" customHeight="1" spans="1:7">
      <c r="A20" s="45" t="s">
        <v>25</v>
      </c>
      <c r="B20" s="3">
        <v>4</v>
      </c>
      <c r="C20" s="3">
        <v>4</v>
      </c>
      <c r="D20" s="3">
        <v>4</v>
      </c>
      <c r="E20" s="3">
        <v>3</v>
      </c>
      <c r="F20" s="3">
        <f t="shared" si="0"/>
        <v>15</v>
      </c>
      <c r="G20" s="3">
        <f>SUBTOTAL(9,B20:E20)*10</f>
        <v>150</v>
      </c>
    </row>
    <row r="21" customHeight="1" spans="1:7">
      <c r="A21" s="45" t="s">
        <v>26</v>
      </c>
      <c r="B21" s="3">
        <v>4</v>
      </c>
      <c r="C21" s="3">
        <v>4</v>
      </c>
      <c r="D21" s="3">
        <v>4</v>
      </c>
      <c r="E21" s="3">
        <v>3</v>
      </c>
      <c r="F21" s="3">
        <f t="shared" si="0"/>
        <v>15</v>
      </c>
      <c r="G21" s="3">
        <f>SUBTOTAL(9,B21:E21)*10</f>
        <v>150</v>
      </c>
    </row>
    <row r="22" customHeight="1" spans="1:7">
      <c r="A22" s="46" t="s">
        <v>27</v>
      </c>
      <c r="B22" s="3">
        <v>2</v>
      </c>
      <c r="C22" s="3"/>
      <c r="D22" s="3"/>
      <c r="E22" s="3"/>
      <c r="F22" s="3">
        <f t="shared" si="0"/>
        <v>2</v>
      </c>
      <c r="G22" s="3">
        <f t="shared" si="1"/>
        <v>13</v>
      </c>
    </row>
    <row r="23" customHeight="1" spans="1:7">
      <c r="A23" s="46" t="s">
        <v>28</v>
      </c>
      <c r="B23" s="3">
        <v>0</v>
      </c>
      <c r="C23" s="3"/>
      <c r="D23" s="3"/>
      <c r="E23" s="3"/>
      <c r="F23" s="3">
        <f t="shared" si="0"/>
        <v>0</v>
      </c>
      <c r="G23" s="3">
        <f t="shared" si="1"/>
        <v>0</v>
      </c>
    </row>
    <row r="24" customHeight="1" spans="1:7">
      <c r="A24" s="46" t="s">
        <v>29</v>
      </c>
      <c r="B24" s="3">
        <v>2</v>
      </c>
      <c r="C24" s="3"/>
      <c r="D24" s="3"/>
      <c r="E24" s="3"/>
      <c r="F24" s="3">
        <f t="shared" si="0"/>
        <v>2</v>
      </c>
      <c r="G24" s="3">
        <f t="shared" si="1"/>
        <v>13</v>
      </c>
    </row>
    <row r="25" customHeight="1" spans="1:7">
      <c r="A25" s="44" t="s">
        <v>30</v>
      </c>
      <c r="B25" s="3">
        <v>2</v>
      </c>
      <c r="C25" s="3">
        <v>1</v>
      </c>
      <c r="D25" s="3"/>
      <c r="E25" s="3"/>
      <c r="F25" s="3">
        <f t="shared" si="0"/>
        <v>3</v>
      </c>
      <c r="G25" s="3">
        <f t="shared" si="1"/>
        <v>19.5</v>
      </c>
    </row>
    <row r="26" customHeight="1" spans="1:7">
      <c r="A26" s="44" t="s">
        <v>31</v>
      </c>
      <c r="B26" s="3">
        <v>2</v>
      </c>
      <c r="C26" s="3">
        <v>1</v>
      </c>
      <c r="D26" s="3"/>
      <c r="E26" s="3"/>
      <c r="F26" s="3">
        <f t="shared" si="0"/>
        <v>3</v>
      </c>
      <c r="G26" s="3">
        <f t="shared" si="1"/>
        <v>19.5</v>
      </c>
    </row>
    <row r="27" customHeight="1" spans="1:7">
      <c r="A27" s="45" t="s">
        <v>32</v>
      </c>
      <c r="B27" s="3">
        <v>2</v>
      </c>
      <c r="C27" s="3"/>
      <c r="D27" s="3"/>
      <c r="E27" s="3"/>
      <c r="F27" s="3">
        <f t="shared" si="0"/>
        <v>2</v>
      </c>
      <c r="G27" s="3">
        <f>SUBTOTAL(9,B27:E27)*10</f>
        <v>20</v>
      </c>
    </row>
    <row r="28" customHeight="1" spans="1:7">
      <c r="A28" s="45" t="s">
        <v>33</v>
      </c>
      <c r="B28" s="3">
        <v>1</v>
      </c>
      <c r="C28" s="3"/>
      <c r="D28" s="3"/>
      <c r="E28" s="3"/>
      <c r="F28" s="3">
        <f t="shared" si="0"/>
        <v>1</v>
      </c>
      <c r="G28" s="3">
        <f>SUBTOTAL(9,B28:E28)*10</f>
        <v>10</v>
      </c>
    </row>
    <row r="29" customHeight="1" spans="1:7">
      <c r="A29" s="45" t="s">
        <v>34</v>
      </c>
      <c r="B29" s="3"/>
      <c r="C29" s="3"/>
      <c r="D29" s="3"/>
      <c r="E29" s="3"/>
      <c r="F29" s="3">
        <f t="shared" si="0"/>
        <v>0</v>
      </c>
      <c r="G29" s="3">
        <f>SUBTOTAL(9,B29:E29)*10</f>
        <v>0</v>
      </c>
    </row>
    <row r="30" customHeight="1" spans="1:7">
      <c r="A30" s="46" t="s">
        <v>35</v>
      </c>
      <c r="B30" s="3">
        <v>3</v>
      </c>
      <c r="C30" s="3"/>
      <c r="D30" s="3"/>
      <c r="E30" s="3"/>
      <c r="F30" s="3">
        <f t="shared" si="0"/>
        <v>3</v>
      </c>
      <c r="G30" s="3">
        <f t="shared" si="1"/>
        <v>19.5</v>
      </c>
    </row>
    <row r="31" customHeight="1" spans="1:7">
      <c r="A31" s="44" t="s">
        <v>36</v>
      </c>
      <c r="B31" s="3">
        <v>2</v>
      </c>
      <c r="C31" s="3"/>
      <c r="D31" s="3"/>
      <c r="E31" s="3"/>
      <c r="F31" s="3">
        <f t="shared" si="0"/>
        <v>2</v>
      </c>
      <c r="G31" s="3">
        <f t="shared" si="1"/>
        <v>13</v>
      </c>
    </row>
    <row r="32" customHeight="1" spans="1:7">
      <c r="A32" s="44" t="s">
        <v>37</v>
      </c>
      <c r="B32" s="3">
        <v>2</v>
      </c>
      <c r="C32" s="3"/>
      <c r="D32" s="3"/>
      <c r="E32" s="3"/>
      <c r="F32" s="3">
        <f t="shared" si="0"/>
        <v>2</v>
      </c>
      <c r="G32" s="3">
        <f t="shared" si="1"/>
        <v>13</v>
      </c>
    </row>
    <row r="33" customHeight="1" spans="1:7">
      <c r="A33" s="44" t="s">
        <v>38</v>
      </c>
      <c r="B33" s="3">
        <v>2</v>
      </c>
      <c r="C33" s="3"/>
      <c r="D33" s="3"/>
      <c r="E33" s="3"/>
      <c r="F33" s="3">
        <f t="shared" si="0"/>
        <v>2</v>
      </c>
      <c r="G33" s="3">
        <f t="shared" si="1"/>
        <v>13</v>
      </c>
    </row>
    <row r="34" customHeight="1" spans="1:7">
      <c r="A34" s="45" t="s">
        <v>39</v>
      </c>
      <c r="B34" s="3">
        <v>2</v>
      </c>
      <c r="C34" s="3"/>
      <c r="D34" s="3"/>
      <c r="E34" s="3"/>
      <c r="F34" s="3">
        <f t="shared" si="0"/>
        <v>2</v>
      </c>
      <c r="G34" s="3">
        <f>SUBTOTAL(9,B34:E34)*10</f>
        <v>20</v>
      </c>
    </row>
    <row r="35" customHeight="1" spans="1:7">
      <c r="A35" s="46" t="s">
        <v>40</v>
      </c>
      <c r="B35" s="3"/>
      <c r="C35" s="3"/>
      <c r="D35" s="3"/>
      <c r="E35" s="3"/>
      <c r="F35" s="3">
        <f t="shared" si="0"/>
        <v>0</v>
      </c>
      <c r="G35" s="3">
        <f t="shared" si="1"/>
        <v>0</v>
      </c>
    </row>
    <row r="36" customHeight="1" spans="1:7">
      <c r="A36" s="46" t="s">
        <v>41</v>
      </c>
      <c r="B36" s="3">
        <v>4</v>
      </c>
      <c r="C36" s="3"/>
      <c r="D36" s="3"/>
      <c r="E36" s="3"/>
      <c r="F36" s="3">
        <f t="shared" si="0"/>
        <v>4</v>
      </c>
      <c r="G36" s="3">
        <f t="shared" si="1"/>
        <v>26</v>
      </c>
    </row>
    <row r="37" customHeight="1" spans="1:7">
      <c r="A37" s="44" t="s">
        <v>42</v>
      </c>
      <c r="B37" s="3">
        <v>2</v>
      </c>
      <c r="C37" s="3">
        <v>1</v>
      </c>
      <c r="D37" s="3"/>
      <c r="E37" s="3"/>
      <c r="F37" s="3">
        <f t="shared" si="0"/>
        <v>3</v>
      </c>
      <c r="G37" s="3">
        <f t="shared" si="1"/>
        <v>19.5</v>
      </c>
    </row>
    <row r="38" customHeight="1" spans="1:7">
      <c r="A38" s="45" t="s">
        <v>43</v>
      </c>
      <c r="B38" s="3">
        <v>2</v>
      </c>
      <c r="C38" s="3"/>
      <c r="D38" s="3"/>
      <c r="E38" s="3"/>
      <c r="F38" s="3">
        <f t="shared" si="0"/>
        <v>2</v>
      </c>
      <c r="G38" s="3">
        <f>SUBTOTAL(9,B38:E38)*10</f>
        <v>20</v>
      </c>
    </row>
    <row r="39" customHeight="1" spans="1:7">
      <c r="A39" s="46" t="s">
        <v>44</v>
      </c>
      <c r="B39" s="3">
        <v>4</v>
      </c>
      <c r="C39" s="3"/>
      <c r="D39" s="3"/>
      <c r="E39" s="3"/>
      <c r="F39" s="3">
        <f t="shared" si="0"/>
        <v>4</v>
      </c>
      <c r="G39" s="3">
        <f t="shared" ref="G39:G44" si="2">SUBTOTAL(9,B39:E39)*6.5</f>
        <v>26</v>
      </c>
    </row>
    <row r="40" customHeight="1" spans="1:7">
      <c r="A40" s="44" t="s">
        <v>45</v>
      </c>
      <c r="B40" s="3">
        <v>2</v>
      </c>
      <c r="C40" s="3">
        <v>1</v>
      </c>
      <c r="D40" s="3"/>
      <c r="E40" s="3"/>
      <c r="F40" s="3">
        <f t="shared" si="0"/>
        <v>3</v>
      </c>
      <c r="G40" s="3">
        <f t="shared" si="2"/>
        <v>19.5</v>
      </c>
    </row>
    <row r="41" customHeight="1" spans="1:7">
      <c r="A41" s="44" t="s">
        <v>46</v>
      </c>
      <c r="B41" s="14">
        <v>1</v>
      </c>
      <c r="C41" s="3"/>
      <c r="D41" s="3"/>
      <c r="E41" s="3"/>
      <c r="F41" s="3">
        <f t="shared" si="0"/>
        <v>1</v>
      </c>
      <c r="G41" s="3">
        <f t="shared" si="2"/>
        <v>6.5</v>
      </c>
    </row>
    <row r="42" customHeight="1" spans="1:7">
      <c r="A42" s="46" t="s">
        <v>47</v>
      </c>
      <c r="B42" s="3">
        <v>4</v>
      </c>
      <c r="C42" s="3"/>
      <c r="D42" s="3"/>
      <c r="E42" s="3"/>
      <c r="F42" s="3">
        <f t="shared" si="0"/>
        <v>4</v>
      </c>
      <c r="G42" s="3">
        <f t="shared" si="2"/>
        <v>26</v>
      </c>
    </row>
    <row r="43" customHeight="1" spans="1:7">
      <c r="A43" s="46" t="s">
        <v>48</v>
      </c>
      <c r="B43" s="3">
        <v>2</v>
      </c>
      <c r="C43" s="3"/>
      <c r="D43" s="3"/>
      <c r="E43" s="3"/>
      <c r="F43" s="3">
        <f t="shared" si="0"/>
        <v>2</v>
      </c>
      <c r="G43" s="3">
        <f t="shared" si="2"/>
        <v>13</v>
      </c>
    </row>
    <row r="44" customHeight="1" spans="1:7">
      <c r="A44" s="44" t="s">
        <v>49</v>
      </c>
      <c r="B44" s="3">
        <v>2</v>
      </c>
      <c r="C44" s="3">
        <v>1</v>
      </c>
      <c r="D44" s="3"/>
      <c r="E44" s="3"/>
      <c r="F44" s="3">
        <f t="shared" si="0"/>
        <v>3</v>
      </c>
      <c r="G44" s="3">
        <f t="shared" si="2"/>
        <v>19.5</v>
      </c>
    </row>
    <row r="45" customHeight="1" spans="1:7">
      <c r="A45" s="45" t="s">
        <v>50</v>
      </c>
      <c r="B45" s="3">
        <v>2</v>
      </c>
      <c r="C45" s="3"/>
      <c r="D45" s="3"/>
      <c r="E45" s="3"/>
      <c r="F45" s="3">
        <f t="shared" si="0"/>
        <v>2</v>
      </c>
      <c r="G45" s="3">
        <f>SUBTOTAL(9,B45:E45)*10</f>
        <v>20</v>
      </c>
    </row>
    <row r="46" customHeight="1" spans="1:7">
      <c r="A46" s="46" t="s">
        <v>51</v>
      </c>
      <c r="B46" s="3">
        <v>4</v>
      </c>
      <c r="C46" s="3"/>
      <c r="D46" s="3"/>
      <c r="E46" s="3"/>
      <c r="F46" s="3">
        <f t="shared" si="0"/>
        <v>4</v>
      </c>
      <c r="G46" s="3">
        <f>SUBTOTAL(9,B46:E46)*6.5</f>
        <v>26</v>
      </c>
    </row>
    <row r="47" customHeight="1" spans="1:7">
      <c r="A47" s="44" t="s">
        <v>52</v>
      </c>
      <c r="B47" s="3">
        <v>2</v>
      </c>
      <c r="C47" s="3">
        <v>1</v>
      </c>
      <c r="D47" s="3"/>
      <c r="E47" s="3"/>
      <c r="F47" s="3">
        <f t="shared" si="0"/>
        <v>3</v>
      </c>
      <c r="G47" s="3">
        <f>SUBTOTAL(9,B47:E47)*6.5</f>
        <v>19.5</v>
      </c>
    </row>
    <row r="48" customHeight="1" spans="1:7">
      <c r="A48" s="45" t="s">
        <v>53</v>
      </c>
      <c r="B48" s="3">
        <v>2</v>
      </c>
      <c r="C48" s="3"/>
      <c r="D48" s="3"/>
      <c r="E48" s="3"/>
      <c r="F48" s="3">
        <f t="shared" si="0"/>
        <v>2</v>
      </c>
      <c r="G48" s="3">
        <f>SUBTOTAL(9,B48:E48)*10</f>
        <v>20</v>
      </c>
    </row>
    <row r="49" customHeight="1" spans="1:7">
      <c r="A49" s="45" t="s">
        <v>54</v>
      </c>
      <c r="B49" s="3">
        <v>1</v>
      </c>
      <c r="C49" s="3"/>
      <c r="D49" s="3"/>
      <c r="E49" s="3"/>
      <c r="F49" s="3">
        <f>SUM(B49:E49)</f>
        <v>1</v>
      </c>
      <c r="G49" s="3">
        <f>SUBTOTAL(9,B49:E49)*10</f>
        <v>10</v>
      </c>
    </row>
    <row r="50" customHeight="1" spans="1:7">
      <c r="A50" s="47" t="s">
        <v>55</v>
      </c>
      <c r="B50" s="3">
        <v>4</v>
      </c>
      <c r="C50" s="3">
        <v>4</v>
      </c>
      <c r="D50" s="3">
        <v>4</v>
      </c>
      <c r="E50" s="3"/>
      <c r="F50" s="3">
        <f t="shared" ref="F50:F73" si="3">SUM(B50:E50)</f>
        <v>12</v>
      </c>
      <c r="G50" s="3">
        <f t="shared" ref="G50:G68" si="4">SUBTOTAL(9,B50:E50)*6.5</f>
        <v>78</v>
      </c>
    </row>
    <row r="51" customHeight="1" spans="1:7">
      <c r="A51" s="47" t="s">
        <v>56</v>
      </c>
      <c r="B51" s="3">
        <v>4</v>
      </c>
      <c r="C51" s="3">
        <v>4</v>
      </c>
      <c r="D51" s="3">
        <v>4</v>
      </c>
      <c r="E51" s="3"/>
      <c r="F51" s="3">
        <f t="shared" si="3"/>
        <v>12</v>
      </c>
      <c r="G51" s="3">
        <f t="shared" si="4"/>
        <v>78</v>
      </c>
    </row>
    <row r="52" customHeight="1" spans="1:7">
      <c r="A52" s="48" t="s">
        <v>57</v>
      </c>
      <c r="B52" s="3"/>
      <c r="C52" s="3"/>
      <c r="D52" s="3"/>
      <c r="E52" s="3"/>
      <c r="F52" s="3">
        <f t="shared" si="3"/>
        <v>0</v>
      </c>
      <c r="G52" s="3">
        <f>SUBTOTAL(9,B52:E52)*10</f>
        <v>0</v>
      </c>
    </row>
    <row r="53" customHeight="1" spans="1:7">
      <c r="A53" s="49" t="s">
        <v>58</v>
      </c>
      <c r="B53" s="3"/>
      <c r="C53" s="3"/>
      <c r="D53" s="3"/>
      <c r="E53" s="3"/>
      <c r="F53" s="3">
        <f t="shared" si="3"/>
        <v>0</v>
      </c>
      <c r="G53" s="3">
        <f t="shared" si="4"/>
        <v>0</v>
      </c>
    </row>
    <row r="54" customHeight="1" spans="1:7">
      <c r="A54" s="49" t="s">
        <v>59</v>
      </c>
      <c r="B54" s="3"/>
      <c r="C54" s="3"/>
      <c r="D54" s="3"/>
      <c r="E54" s="3"/>
      <c r="F54" s="3">
        <f t="shared" si="3"/>
        <v>0</v>
      </c>
      <c r="G54" s="3">
        <f t="shared" si="4"/>
        <v>0</v>
      </c>
    </row>
    <row r="55" customHeight="1" spans="1:7">
      <c r="A55" s="50" t="s">
        <v>60</v>
      </c>
      <c r="B55" s="3"/>
      <c r="C55" s="3"/>
      <c r="D55" s="3"/>
      <c r="E55" s="3"/>
      <c r="F55" s="3">
        <f t="shared" si="3"/>
        <v>0</v>
      </c>
      <c r="G55" s="3">
        <f t="shared" si="4"/>
        <v>0</v>
      </c>
    </row>
    <row r="56" customHeight="1" spans="1:7">
      <c r="A56" s="49" t="s">
        <v>61</v>
      </c>
      <c r="B56" s="14">
        <v>4</v>
      </c>
      <c r="C56" s="3">
        <v>4</v>
      </c>
      <c r="D56" s="3">
        <v>4</v>
      </c>
      <c r="E56" s="3">
        <v>2</v>
      </c>
      <c r="F56" s="3">
        <f t="shared" si="3"/>
        <v>14</v>
      </c>
      <c r="G56" s="3">
        <f t="shared" si="4"/>
        <v>91</v>
      </c>
    </row>
    <row r="57" customHeight="1" spans="1:7">
      <c r="A57" s="49" t="s">
        <v>62</v>
      </c>
      <c r="B57" s="14">
        <v>4</v>
      </c>
      <c r="C57" s="3">
        <v>4</v>
      </c>
      <c r="D57" s="3">
        <v>4</v>
      </c>
      <c r="E57" s="3">
        <v>2</v>
      </c>
      <c r="F57" s="3">
        <f t="shared" si="3"/>
        <v>14</v>
      </c>
      <c r="G57" s="3">
        <f t="shared" si="4"/>
        <v>91</v>
      </c>
    </row>
    <row r="58" customHeight="1" spans="1:7">
      <c r="A58" s="50" t="s">
        <v>63</v>
      </c>
      <c r="B58" s="14">
        <v>4</v>
      </c>
      <c r="C58" s="3">
        <v>4</v>
      </c>
      <c r="D58" s="3">
        <v>4</v>
      </c>
      <c r="E58" s="3">
        <v>2</v>
      </c>
      <c r="F58" s="3">
        <f t="shared" si="3"/>
        <v>14</v>
      </c>
      <c r="G58" s="3">
        <f t="shared" si="4"/>
        <v>91</v>
      </c>
    </row>
    <row r="59" customHeight="1" spans="1:7">
      <c r="A59" s="50" t="s">
        <v>22</v>
      </c>
      <c r="B59" s="14">
        <v>4</v>
      </c>
      <c r="C59" s="3">
        <v>4</v>
      </c>
      <c r="D59" s="3">
        <v>4</v>
      </c>
      <c r="E59" s="3">
        <v>2</v>
      </c>
      <c r="F59" s="3">
        <f t="shared" si="3"/>
        <v>14</v>
      </c>
      <c r="G59" s="3">
        <f t="shared" si="4"/>
        <v>91</v>
      </c>
    </row>
    <row r="60" customHeight="1" spans="1:7">
      <c r="A60" s="49" t="s">
        <v>64</v>
      </c>
      <c r="B60" s="14">
        <v>3</v>
      </c>
      <c r="C60" s="3"/>
      <c r="D60" s="3"/>
      <c r="E60" s="3"/>
      <c r="F60" s="3">
        <f t="shared" si="3"/>
        <v>3</v>
      </c>
      <c r="G60" s="3">
        <f t="shared" si="4"/>
        <v>19.5</v>
      </c>
    </row>
    <row r="61" customHeight="1" spans="1:7">
      <c r="A61" s="50" t="s">
        <v>65</v>
      </c>
      <c r="B61" s="14">
        <v>2</v>
      </c>
      <c r="C61" s="3">
        <v>1</v>
      </c>
      <c r="D61" s="3"/>
      <c r="E61" s="3"/>
      <c r="F61" s="3">
        <f t="shared" si="3"/>
        <v>3</v>
      </c>
      <c r="G61" s="3">
        <f t="shared" si="4"/>
        <v>19.5</v>
      </c>
    </row>
    <row r="62" customHeight="1" spans="1:7">
      <c r="A62" s="49" t="s">
        <v>66</v>
      </c>
      <c r="B62" s="14">
        <v>2</v>
      </c>
      <c r="C62" s="3"/>
      <c r="D62" s="3"/>
      <c r="E62" s="3"/>
      <c r="F62" s="3">
        <f t="shared" si="3"/>
        <v>2</v>
      </c>
      <c r="G62" s="3">
        <f t="shared" si="4"/>
        <v>13</v>
      </c>
    </row>
    <row r="63" customHeight="1" spans="1:7">
      <c r="A63" s="49" t="s">
        <v>67</v>
      </c>
      <c r="B63" s="14">
        <v>2</v>
      </c>
      <c r="C63" s="3"/>
      <c r="D63" s="3"/>
      <c r="E63" s="3"/>
      <c r="F63" s="3">
        <f t="shared" si="3"/>
        <v>2</v>
      </c>
      <c r="G63" s="3">
        <f t="shared" si="4"/>
        <v>13</v>
      </c>
    </row>
    <row r="64" customHeight="1" spans="1:7">
      <c r="A64" s="48" t="s">
        <v>68</v>
      </c>
      <c r="B64" s="14">
        <v>2</v>
      </c>
      <c r="C64" s="3"/>
      <c r="D64" s="3"/>
      <c r="E64" s="3"/>
      <c r="F64" s="3">
        <f t="shared" si="3"/>
        <v>2</v>
      </c>
      <c r="G64" s="3">
        <f>SUBTOTAL(9,B64:E64)*10</f>
        <v>20</v>
      </c>
    </row>
    <row r="65" customHeight="1" spans="1:7">
      <c r="A65" s="49" t="s">
        <v>69</v>
      </c>
      <c r="B65" s="14">
        <v>3</v>
      </c>
      <c r="C65" s="3"/>
      <c r="D65" s="3"/>
      <c r="E65" s="3"/>
      <c r="F65" s="3">
        <f t="shared" si="3"/>
        <v>3</v>
      </c>
      <c r="G65" s="3">
        <f t="shared" si="4"/>
        <v>19.5</v>
      </c>
    </row>
    <row r="66" customHeight="1" spans="1:7">
      <c r="A66" s="50" t="s">
        <v>70</v>
      </c>
      <c r="B66" s="3">
        <v>2</v>
      </c>
      <c r="C66" s="3"/>
      <c r="D66" s="3"/>
      <c r="E66" s="3"/>
      <c r="F66" s="3">
        <f t="shared" si="3"/>
        <v>2</v>
      </c>
      <c r="G66" s="3">
        <f t="shared" si="4"/>
        <v>13</v>
      </c>
    </row>
    <row r="67" customHeight="1" spans="1:7">
      <c r="A67" s="48" t="s">
        <v>71</v>
      </c>
      <c r="B67" s="3">
        <v>2</v>
      </c>
      <c r="C67" s="3">
        <v>1</v>
      </c>
      <c r="D67" s="3"/>
      <c r="E67" s="3"/>
      <c r="F67" s="3">
        <f t="shared" si="3"/>
        <v>3</v>
      </c>
      <c r="G67" s="3">
        <f>SUBTOTAL(9,B67:E67)*10</f>
        <v>30</v>
      </c>
    </row>
    <row r="68" customHeight="1" spans="1:7">
      <c r="A68" s="49" t="s">
        <v>72</v>
      </c>
      <c r="B68" s="3">
        <v>3</v>
      </c>
      <c r="C68" s="3"/>
      <c r="D68" s="3"/>
      <c r="E68" s="3"/>
      <c r="F68" s="3">
        <f t="shared" si="3"/>
        <v>3</v>
      </c>
      <c r="G68" s="3">
        <f t="shared" si="4"/>
        <v>19.5</v>
      </c>
    </row>
    <row r="69" customHeight="1" spans="1:7">
      <c r="A69" s="48" t="s">
        <v>73</v>
      </c>
      <c r="B69" s="3">
        <v>2</v>
      </c>
      <c r="C69" s="3"/>
      <c r="D69" s="3"/>
      <c r="E69" s="3"/>
      <c r="F69" s="3">
        <f t="shared" si="3"/>
        <v>2</v>
      </c>
      <c r="G69" s="3">
        <f>SUBTOTAL(9,B69:E69)*10</f>
        <v>20</v>
      </c>
    </row>
    <row r="70" customHeight="1" spans="1:7">
      <c r="A70" s="49" t="s">
        <v>74</v>
      </c>
      <c r="B70" s="3">
        <v>1</v>
      </c>
      <c r="C70" s="3"/>
      <c r="D70" s="3"/>
      <c r="E70" s="3"/>
      <c r="F70" s="3">
        <f t="shared" si="3"/>
        <v>1</v>
      </c>
      <c r="G70" s="3">
        <f>SUBTOTAL(9,B70:E70)*6.5</f>
        <v>6.5</v>
      </c>
    </row>
    <row r="71" customHeight="1" spans="1:7">
      <c r="A71" s="49" t="s">
        <v>75</v>
      </c>
      <c r="B71" s="3">
        <v>3</v>
      </c>
      <c r="C71" s="3"/>
      <c r="D71" s="3"/>
      <c r="E71" s="3"/>
      <c r="F71" s="3">
        <f t="shared" si="3"/>
        <v>3</v>
      </c>
      <c r="G71" s="3">
        <f>SUBTOTAL(9,B71:E71)*6.5</f>
        <v>19.5</v>
      </c>
    </row>
    <row r="72" customHeight="1" spans="1:7">
      <c r="A72" s="50" t="s">
        <v>76</v>
      </c>
      <c r="B72" s="3">
        <v>2</v>
      </c>
      <c r="C72" s="3"/>
      <c r="D72" s="3"/>
      <c r="E72" s="3"/>
      <c r="F72" s="3">
        <f t="shared" si="3"/>
        <v>2</v>
      </c>
      <c r="G72" s="3">
        <f>SUBTOTAL(9,B72:E72)*6.5</f>
        <v>13</v>
      </c>
    </row>
    <row r="73" customHeight="1" spans="1:7">
      <c r="A73" s="49" t="s">
        <v>77</v>
      </c>
      <c r="B73" s="3"/>
      <c r="C73" s="3"/>
      <c r="D73" s="3"/>
      <c r="E73" s="3"/>
      <c r="F73" s="3">
        <f t="shared" si="3"/>
        <v>0</v>
      </c>
      <c r="G73" s="3">
        <f>SUBTOTAL(9,B73:E73)*6.5</f>
        <v>0</v>
      </c>
    </row>
    <row r="74" customHeight="1" spans="2:7">
      <c r="B74" s="3">
        <f>SUM(B3:B73)</f>
        <v>181</v>
      </c>
      <c r="C74" s="3">
        <f>SUM(C3:C72)</f>
        <v>104</v>
      </c>
      <c r="D74" s="3">
        <f>SUM(D3:D72)</f>
        <v>96</v>
      </c>
      <c r="E74" s="3">
        <f>SUM(E3:E72)</f>
        <v>55</v>
      </c>
      <c r="F74" s="3">
        <f>SUM(F3:F72)</f>
        <v>436</v>
      </c>
      <c r="G74" s="3">
        <f>SUM(G3:G71)</f>
        <v>3202.5</v>
      </c>
    </row>
    <row r="75" customHeight="1" spans="6:6">
      <c r="F75" s="16"/>
    </row>
    <row r="76" customHeight="1" spans="2:6">
      <c r="B76" s="51" t="s">
        <v>78</v>
      </c>
      <c r="C76" s="51" t="s">
        <v>78</v>
      </c>
      <c r="D76" s="51" t="s">
        <v>78</v>
      </c>
      <c r="E76" s="51" t="s">
        <v>78</v>
      </c>
      <c r="F76" s="51"/>
    </row>
  </sheetData>
  <mergeCells count="1">
    <mergeCell ref="A1:E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2"/>
  <sheetViews>
    <sheetView workbookViewId="0">
      <selection activeCell="B77" sqref="B77:B92"/>
    </sheetView>
  </sheetViews>
  <sheetFormatPr defaultColWidth="8.90740740740741" defaultRowHeight="14.4" outlineLevelCol="1"/>
  <sheetData>
    <row r="1" spans="1:2">
      <c r="A1" s="22" t="s">
        <v>1</v>
      </c>
      <c r="B1" t="s">
        <v>79</v>
      </c>
    </row>
    <row r="2" spans="1:1">
      <c r="A2" s="25" t="s">
        <v>80</v>
      </c>
    </row>
    <row r="3" spans="1:1">
      <c r="A3" s="26" t="s">
        <v>81</v>
      </c>
    </row>
    <row r="4" spans="1:1">
      <c r="A4" s="25" t="s">
        <v>82</v>
      </c>
    </row>
    <row r="5" spans="1:2">
      <c r="A5" s="27" t="s">
        <v>83</v>
      </c>
      <c r="B5">
        <f>VLOOKUP(A5,Sheet1!$A$1:$B$70,2,FALSE)</f>
        <v>0</v>
      </c>
    </row>
    <row r="6" spans="1:1">
      <c r="A6" s="28" t="s">
        <v>84</v>
      </c>
    </row>
    <row r="7" spans="1:2">
      <c r="A7" s="26" t="s">
        <v>85</v>
      </c>
      <c r="B7">
        <f>VLOOKUP(A7,Sheet1!$A$1:$B$70,2,FALSE)</f>
        <v>0</v>
      </c>
    </row>
    <row r="8" spans="1:1">
      <c r="A8" s="27" t="s">
        <v>86</v>
      </c>
    </row>
    <row r="9" spans="1:1">
      <c r="A9" s="29" t="s">
        <v>87</v>
      </c>
    </row>
    <row r="10" spans="1:2">
      <c r="A10" s="29" t="s">
        <v>54</v>
      </c>
      <c r="B10">
        <f>VLOOKUP(A10,Sheet1!$A$1:$B$70,2,FALSE)</f>
        <v>19.5</v>
      </c>
    </row>
    <row r="11" spans="1:1">
      <c r="A11" s="26" t="s">
        <v>88</v>
      </c>
    </row>
    <row r="12" spans="1:2">
      <c r="A12" s="26" t="s">
        <v>89</v>
      </c>
      <c r="B12">
        <f>VLOOKUP(A12,Sheet1!$A$1:$B$70,2,FALSE)</f>
        <v>0</v>
      </c>
    </row>
    <row r="13" spans="1:1">
      <c r="A13" s="30" t="s">
        <v>90</v>
      </c>
    </row>
    <row r="14" spans="1:1">
      <c r="A14" s="30" t="s">
        <v>91</v>
      </c>
    </row>
    <row r="15" spans="1:1">
      <c r="A15" s="30" t="s">
        <v>92</v>
      </c>
    </row>
    <row r="16" spans="1:1">
      <c r="A16" s="26" t="s">
        <v>93</v>
      </c>
    </row>
    <row r="17" spans="1:1">
      <c r="A17" s="26" t="s">
        <v>94</v>
      </c>
    </row>
    <row r="18" spans="1:1">
      <c r="A18" s="26" t="s">
        <v>95</v>
      </c>
    </row>
    <row r="19" spans="1:2">
      <c r="A19" s="27" t="s">
        <v>15</v>
      </c>
      <c r="B19">
        <f>VLOOKUP(A19,Sheet1!$A$1:$B$70,2,FALSE)</f>
        <v>10</v>
      </c>
    </row>
    <row r="20" ht="15.6" spans="1:2">
      <c r="A20" s="31" t="s">
        <v>8</v>
      </c>
      <c r="B20">
        <f>VLOOKUP(A20,Sheet1!$A$1:$B$70,2,FALSE)</f>
        <v>10</v>
      </c>
    </row>
    <row r="21" ht="15.6" spans="1:2">
      <c r="A21" s="31" t="s">
        <v>9</v>
      </c>
      <c r="B21">
        <f>VLOOKUP(A21,Sheet1!$A$1:$B$70,2,FALSE)</f>
        <v>10</v>
      </c>
    </row>
    <row r="22" ht="15.6" spans="1:2">
      <c r="A22" s="32" t="s">
        <v>11</v>
      </c>
      <c r="B22">
        <f>VLOOKUP(A22,Sheet1!$A$1:$B$70,2,FALSE)</f>
        <v>45.5</v>
      </c>
    </row>
    <row r="23" ht="15.6" spans="1:2">
      <c r="A23" s="32" t="s">
        <v>16</v>
      </c>
      <c r="B23">
        <f>VLOOKUP(A23,Sheet1!$A$1:$B$70,2,FALSE)</f>
        <v>84.5</v>
      </c>
    </row>
    <row r="24" ht="15.6" spans="1:2">
      <c r="A24" s="32" t="s">
        <v>17</v>
      </c>
      <c r="B24">
        <f>VLOOKUP(A24,Sheet1!$A$1:$B$70,2,FALSE)</f>
        <v>84.5</v>
      </c>
    </row>
    <row r="25" spans="1:2">
      <c r="A25" s="33" t="s">
        <v>13</v>
      </c>
      <c r="B25">
        <f>VLOOKUP(A25,Sheet1!$A$1:$B$70,2,FALSE)</f>
        <v>110.5</v>
      </c>
    </row>
    <row r="26" ht="15.6" spans="1:2">
      <c r="A26" s="34" t="s">
        <v>14</v>
      </c>
      <c r="B26">
        <f>VLOOKUP(A26,Sheet1!$A$1:$B$70,2,FALSE)</f>
        <v>97.5</v>
      </c>
    </row>
    <row r="27" ht="15.6" spans="1:2">
      <c r="A27" s="34" t="s">
        <v>12</v>
      </c>
      <c r="B27">
        <f>VLOOKUP(A27,Sheet1!$A$1:$B$70,2,FALSE)</f>
        <v>97.5</v>
      </c>
    </row>
    <row r="28" ht="15.6" spans="1:1">
      <c r="A28" s="31" t="s">
        <v>96</v>
      </c>
    </row>
    <row r="29" ht="15.6" spans="1:1">
      <c r="A29" s="31" t="s">
        <v>97</v>
      </c>
    </row>
    <row r="30" spans="1:2">
      <c r="A30" s="27" t="s">
        <v>98</v>
      </c>
      <c r="B30">
        <f>VLOOKUP(A30,Sheet1!$A$1:$B$70,2,FALSE)</f>
        <v>6.5</v>
      </c>
    </row>
    <row r="31" spans="1:1">
      <c r="A31" s="29" t="s">
        <v>99</v>
      </c>
    </row>
    <row r="32" ht="15.6" spans="1:1">
      <c r="A32" s="32" t="s">
        <v>100</v>
      </c>
    </row>
    <row r="33" spans="1:2">
      <c r="A33" s="29" t="s">
        <v>101</v>
      </c>
      <c r="B33">
        <f>VLOOKUP(A33,Sheet1!$A$1:$B$70,2,FALSE)</f>
        <v>13</v>
      </c>
    </row>
    <row r="34" ht="15.6" spans="1:1">
      <c r="A34" s="34" t="s">
        <v>102</v>
      </c>
    </row>
    <row r="35" ht="15.6" spans="1:1">
      <c r="A35" s="34" t="s">
        <v>103</v>
      </c>
    </row>
    <row r="36" ht="15.6" spans="1:1">
      <c r="A36" s="34" t="s">
        <v>104</v>
      </c>
    </row>
    <row r="37" ht="15.6" spans="1:1">
      <c r="A37" s="34" t="s">
        <v>105</v>
      </c>
    </row>
    <row r="38" ht="15.6" spans="1:2">
      <c r="A38" s="31" t="s">
        <v>18</v>
      </c>
      <c r="B38">
        <f>VLOOKUP(A38,Sheet1!$A$1:$B$70,2,FALSE)</f>
        <v>10</v>
      </c>
    </row>
    <row r="39" spans="1:2">
      <c r="A39" s="27" t="s">
        <v>19</v>
      </c>
      <c r="B39">
        <f>VLOOKUP(A39,Sheet1!$A$1:$B$70,2,FALSE)</f>
        <v>10</v>
      </c>
    </row>
    <row r="40" ht="15.6" spans="1:2">
      <c r="A40" s="31" t="s">
        <v>25</v>
      </c>
      <c r="B40">
        <f>VLOOKUP(A40,Sheet1!$A$1:$B$70,2,FALSE)</f>
        <v>10</v>
      </c>
    </row>
    <row r="41" spans="1:2">
      <c r="A41" s="29" t="s">
        <v>24</v>
      </c>
      <c r="B41">
        <f>VLOOKUP(A41,Sheet1!$A$1:$B$70,2,FALSE)</f>
        <v>91</v>
      </c>
    </row>
    <row r="42" ht="15.6" spans="1:2">
      <c r="A42" s="32" t="s">
        <v>20</v>
      </c>
      <c r="B42">
        <f>VLOOKUP(A42,Sheet1!$A$1:$B$70,2,FALSE)</f>
        <v>84.5</v>
      </c>
    </row>
    <row r="43" ht="15.6" spans="1:2">
      <c r="A43" s="32" t="s">
        <v>26</v>
      </c>
      <c r="B43">
        <f>VLOOKUP(A43,Sheet1!$A$1:$B$70,2,FALSE)</f>
        <v>84.5</v>
      </c>
    </row>
    <row r="44" spans="1:2">
      <c r="A44" s="33" t="s">
        <v>23</v>
      </c>
      <c r="B44">
        <f>VLOOKUP(A44,Sheet1!$A$1:$B$70,2,FALSE)</f>
        <v>104</v>
      </c>
    </row>
    <row r="45" ht="15.6" spans="1:2">
      <c r="A45" s="34" t="s">
        <v>21</v>
      </c>
      <c r="B45">
        <f>VLOOKUP(A45,Sheet1!$A$1:$B$70,2,FALSE)</f>
        <v>104</v>
      </c>
    </row>
    <row r="46" ht="15.6" spans="1:1">
      <c r="A46" s="31" t="s">
        <v>34</v>
      </c>
    </row>
    <row r="47" ht="15.6" spans="1:2">
      <c r="A47" s="31" t="s">
        <v>33</v>
      </c>
      <c r="B47">
        <f>VLOOKUP(A47,Sheet1!$A$1:$B$70,2,FALSE)</f>
        <v>0</v>
      </c>
    </row>
    <row r="48" ht="15.6" spans="1:2">
      <c r="A48" s="31" t="s">
        <v>29</v>
      </c>
      <c r="B48">
        <f>VLOOKUP(A48,Sheet1!$A$1:$B$70,2,FALSE)</f>
        <v>0</v>
      </c>
    </row>
    <row r="49" spans="1:2">
      <c r="A49" s="29" t="s">
        <v>32</v>
      </c>
      <c r="B49">
        <f>VLOOKUP(A49,Sheet1!$A$1:$B$70,2,FALSE)</f>
        <v>13</v>
      </c>
    </row>
    <row r="50" spans="1:2">
      <c r="A50" s="29" t="s">
        <v>28</v>
      </c>
      <c r="B50">
        <f>VLOOKUP(A50,Sheet1!$A$1:$B$70,2,FALSE)</f>
        <v>32.5</v>
      </c>
    </row>
    <row r="51" spans="1:2">
      <c r="A51" s="33" t="s">
        <v>30</v>
      </c>
      <c r="B51">
        <f>VLOOKUP(A51,Sheet1!$A$1:$B$70,2,FALSE)</f>
        <v>13</v>
      </c>
    </row>
    <row r="52" ht="15.6" spans="1:2">
      <c r="A52" s="34" t="s">
        <v>31</v>
      </c>
      <c r="B52">
        <f>VLOOKUP(A52,Sheet1!$A$1:$B$70,2,FALSE)</f>
        <v>19.5</v>
      </c>
    </row>
    <row r="53" ht="15.6" spans="1:2">
      <c r="A53" s="31" t="s">
        <v>36</v>
      </c>
      <c r="B53">
        <f>VLOOKUP(A53,Sheet1!$A$1:$B$70,2,FALSE)</f>
        <v>0</v>
      </c>
    </row>
    <row r="54" spans="1:2">
      <c r="A54" s="27" t="s">
        <v>35</v>
      </c>
      <c r="B54">
        <f>VLOOKUP(A54,Sheet1!$A$1:$B$70,2,FALSE)</f>
        <v>0</v>
      </c>
    </row>
    <row r="55" ht="15.6" spans="1:2">
      <c r="A55" s="32" t="s">
        <v>40</v>
      </c>
      <c r="B55">
        <f>VLOOKUP(A55,Sheet1!$A$1:$B$70,2,FALSE)</f>
        <v>0</v>
      </c>
    </row>
    <row r="56" ht="15.6" spans="1:2">
      <c r="A56" s="32" t="s">
        <v>39</v>
      </c>
      <c r="B56">
        <f>VLOOKUP(A56,Sheet1!$A$1:$B$70,2,FALSE)</f>
        <v>19.5</v>
      </c>
    </row>
    <row r="57" spans="1:2">
      <c r="A57" s="33" t="s">
        <v>38</v>
      </c>
      <c r="B57">
        <f>VLOOKUP(A57,Sheet1!$A$1:$B$70,2,FALSE)</f>
        <v>13</v>
      </c>
    </row>
    <row r="58" ht="15.6" spans="1:2">
      <c r="A58" s="34" t="s">
        <v>37</v>
      </c>
      <c r="B58">
        <f>VLOOKUP(A58,Sheet1!$A$1:$B$70,2,FALSE)</f>
        <v>13</v>
      </c>
    </row>
    <row r="59" ht="15.6" spans="1:2">
      <c r="A59" s="31" t="s">
        <v>41</v>
      </c>
      <c r="B59">
        <f>VLOOKUP(A59,Sheet1!$A$1:$B$70,2,FALSE)</f>
        <v>0</v>
      </c>
    </row>
    <row r="60" spans="1:2">
      <c r="A60" s="29" t="s">
        <v>42</v>
      </c>
      <c r="B60">
        <f>VLOOKUP(A60,Sheet1!$A$1:$B$70,2,FALSE)</f>
        <v>10</v>
      </c>
    </row>
    <row r="61" spans="1:2">
      <c r="A61" s="29" t="s">
        <v>43</v>
      </c>
      <c r="B61">
        <f>VLOOKUP(A61,Sheet1!$A$1:$B$70,2,FALSE)</f>
        <v>26</v>
      </c>
    </row>
    <row r="62" spans="1:2">
      <c r="A62" s="27" t="s">
        <v>44</v>
      </c>
      <c r="B62">
        <f>VLOOKUP(A62,Sheet1!$A$1:$B$70,2,FALSE)</f>
        <v>0</v>
      </c>
    </row>
    <row r="63" ht="15.6" spans="1:2">
      <c r="A63" s="31" t="s">
        <v>50</v>
      </c>
      <c r="B63">
        <f>VLOOKUP(A63,Sheet1!$A$1:$B$70,2,FALSE)</f>
        <v>0</v>
      </c>
    </row>
    <row r="64" spans="1:2">
      <c r="A64" s="27" t="s">
        <v>51</v>
      </c>
      <c r="B64">
        <f>VLOOKUP(A64,Sheet1!$A$1:$B$70,2,FALSE)</f>
        <v>0</v>
      </c>
    </row>
    <row r="65" ht="15.6" spans="1:2">
      <c r="A65" s="32" t="s">
        <v>46</v>
      </c>
      <c r="B65">
        <f>VLOOKUP(A65,Sheet1!$A$1:$B$70,2,FALSE)</f>
        <v>6.5</v>
      </c>
    </row>
    <row r="66" ht="15.6" spans="1:2">
      <c r="A66" s="32" t="s">
        <v>106</v>
      </c>
      <c r="B66">
        <f>VLOOKUP(A66,Sheet1!$A$1:$B$70,2,FALSE)</f>
        <v>0</v>
      </c>
    </row>
    <row r="67" ht="15.6" spans="1:2">
      <c r="A67" s="32" t="s">
        <v>48</v>
      </c>
      <c r="B67">
        <f>VLOOKUP(A67,Sheet1!$A$1:$B$70,2,FALSE)</f>
        <v>13</v>
      </c>
    </row>
    <row r="68" spans="1:2">
      <c r="A68" s="29" t="s">
        <v>53</v>
      </c>
      <c r="B68">
        <f>VLOOKUP(A68,Sheet1!$A$1:$B$70,2,FALSE)</f>
        <v>13</v>
      </c>
    </row>
    <row r="69" ht="15.6" spans="1:2">
      <c r="A69" s="34" t="s">
        <v>45</v>
      </c>
      <c r="B69">
        <f>VLOOKUP(A69,Sheet1!$A$1:$B$70,2,FALSE)</f>
        <v>26</v>
      </c>
    </row>
    <row r="70" spans="1:2">
      <c r="A70" s="33" t="s">
        <v>49</v>
      </c>
      <c r="B70">
        <f>VLOOKUP(A70,Sheet1!$A$1:$B$70,2,FALSE)</f>
        <v>19.5</v>
      </c>
    </row>
    <row r="71" spans="1:2">
      <c r="A71" s="33" t="s">
        <v>52</v>
      </c>
      <c r="B71">
        <f>VLOOKUP(A71,Sheet1!$A$1:$B$70,2,FALSE)</f>
        <v>13</v>
      </c>
    </row>
    <row r="72" spans="1:1">
      <c r="A72" s="28" t="s">
        <v>107</v>
      </c>
    </row>
    <row r="73" ht="15.6" spans="1:1">
      <c r="A73" s="35" t="s">
        <v>108</v>
      </c>
    </row>
    <row r="74" ht="15.6" spans="1:1">
      <c r="A74" s="36" t="s">
        <v>109</v>
      </c>
    </row>
    <row r="75" ht="15.6" spans="1:1">
      <c r="A75" s="36" t="s">
        <v>110</v>
      </c>
    </row>
    <row r="76" spans="1:1">
      <c r="A76" s="37" t="s">
        <v>111</v>
      </c>
    </row>
    <row r="77" spans="1:2">
      <c r="A77" s="38" t="s">
        <v>112</v>
      </c>
      <c r="B77">
        <f>VLOOKUP(A77,Sheet1!$A$1:$B$70,2,FALSE)</f>
        <v>91</v>
      </c>
    </row>
    <row r="78" spans="1:2">
      <c r="A78" s="38" t="s">
        <v>113</v>
      </c>
      <c r="B78">
        <f>VLOOKUP(A78,Sheet1!$A$1:$B$70,2,FALSE)</f>
        <v>104</v>
      </c>
    </row>
    <row r="79" spans="1:2">
      <c r="A79" s="38" t="s">
        <v>114</v>
      </c>
      <c r="B79">
        <f>VLOOKUP(A79,Sheet1!$A$1:$B$70,2,FALSE)</f>
        <v>0</v>
      </c>
    </row>
    <row r="80" spans="1:2">
      <c r="A80" s="38" t="s">
        <v>115</v>
      </c>
      <c r="B80">
        <f>VLOOKUP(A80,Sheet1!$A$1:$B$70,2,FALSE)</f>
        <v>10</v>
      </c>
    </row>
    <row r="81" spans="1:2">
      <c r="A81" s="38" t="s">
        <v>61</v>
      </c>
      <c r="B81">
        <f>VLOOKUP(A81,Sheet1!$A$1:$B$70,2,FALSE)</f>
        <v>39</v>
      </c>
    </row>
    <row r="82" spans="1:2">
      <c r="A82" s="38" t="s">
        <v>63</v>
      </c>
      <c r="B82">
        <f>VLOOKUP(A82,Sheet1!$A$1:$B$70,2,FALSE)</f>
        <v>97.5</v>
      </c>
    </row>
    <row r="83" spans="1:2">
      <c r="A83" s="38" t="s">
        <v>22</v>
      </c>
      <c r="B83">
        <f>VLOOKUP(A83,Sheet1!$A$1:$B$70,2,FALSE)</f>
        <v>110.5</v>
      </c>
    </row>
    <row r="84" spans="1:2">
      <c r="A84" s="38" t="s">
        <v>68</v>
      </c>
      <c r="B84">
        <f>VLOOKUP(A84,Sheet1!$A$1:$B$70,2,FALSE)</f>
        <v>26</v>
      </c>
    </row>
    <row r="85" spans="1:2">
      <c r="A85" s="38" t="s">
        <v>70</v>
      </c>
      <c r="B85">
        <f>VLOOKUP(A85,Sheet1!$A$1:$B$70,2,FALSE)</f>
        <v>13</v>
      </c>
    </row>
    <row r="86" spans="1:2">
      <c r="A86" s="38" t="s">
        <v>73</v>
      </c>
      <c r="B86">
        <f>VLOOKUP(A86,Sheet1!$A$1:$B$70,2,FALSE)</f>
        <v>19.5</v>
      </c>
    </row>
    <row r="87" spans="1:2">
      <c r="A87" s="38" t="s">
        <v>76</v>
      </c>
      <c r="B87">
        <f>VLOOKUP(A87,Sheet1!$A$1:$B$70,2,FALSE)</f>
        <v>13</v>
      </c>
    </row>
    <row r="88" spans="1:2">
      <c r="A88" s="38" t="s">
        <v>77</v>
      </c>
      <c r="B88">
        <f>VLOOKUP(A88,Sheet1!$A$1:$B$70,2,FALSE)</f>
        <v>0</v>
      </c>
    </row>
    <row r="89" spans="1:2">
      <c r="A89" s="24" t="s">
        <v>69</v>
      </c>
      <c r="B89">
        <f>VLOOKUP(A89,Sheet1!$A$1:$B$70,2,FALSE)</f>
        <v>0</v>
      </c>
    </row>
    <row r="90" spans="1:2">
      <c r="A90" s="39" t="s">
        <v>71</v>
      </c>
      <c r="B90">
        <f>VLOOKUP(A90,Sheet1!$A$1:$B$70,2,FALSE)</f>
        <v>13</v>
      </c>
    </row>
    <row r="91" spans="1:2">
      <c r="A91" t="s">
        <v>65</v>
      </c>
      <c r="B91">
        <f>VLOOKUP(A91,Sheet1!$A$1:$B$70,2,FALSE)</f>
        <v>6.5</v>
      </c>
    </row>
    <row r="92" spans="1:2">
      <c r="A92" t="s">
        <v>116</v>
      </c>
      <c r="B92">
        <f>VLOOKUP(A92,Sheet1!$A$1:$B$70,2,FALSE)</f>
        <v>13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0"/>
  <sheetViews>
    <sheetView workbookViewId="0">
      <selection activeCell="B2" sqref="B2"/>
    </sheetView>
  </sheetViews>
  <sheetFormatPr defaultColWidth="8.90740740740741" defaultRowHeight="14.4" outlineLevelCol="1"/>
  <sheetData>
    <row r="1" spans="1:2">
      <c r="A1" s="22" t="s">
        <v>1</v>
      </c>
      <c r="B1" t="s">
        <v>79</v>
      </c>
    </row>
    <row r="2" ht="15.6" spans="1:2">
      <c r="A2" s="7" t="s">
        <v>83</v>
      </c>
      <c r="B2">
        <v>0</v>
      </c>
    </row>
    <row r="3" spans="1:2">
      <c r="A3" s="8" t="s">
        <v>15</v>
      </c>
      <c r="B3">
        <v>10</v>
      </c>
    </row>
    <row r="4" ht="15.6" spans="1:2">
      <c r="A4" s="7" t="s">
        <v>8</v>
      </c>
      <c r="B4">
        <v>10</v>
      </c>
    </row>
    <row r="5" ht="15.6" spans="1:2">
      <c r="A5" s="7" t="s">
        <v>9</v>
      </c>
      <c r="B5">
        <v>10</v>
      </c>
    </row>
    <row r="6" ht="15.6" spans="1:2">
      <c r="A6" s="9" t="s">
        <v>11</v>
      </c>
      <c r="B6">
        <v>45.5</v>
      </c>
    </row>
    <row r="7" ht="15.6" spans="1:2">
      <c r="A7" s="9" t="s">
        <v>16</v>
      </c>
      <c r="B7">
        <v>84.5</v>
      </c>
    </row>
    <row r="8" ht="15.6" spans="1:2">
      <c r="A8" s="9" t="s">
        <v>17</v>
      </c>
      <c r="B8">
        <v>84.5</v>
      </c>
    </row>
    <row r="9" spans="1:2">
      <c r="A9" s="10" t="s">
        <v>13</v>
      </c>
      <c r="B9">
        <v>110.5</v>
      </c>
    </row>
    <row r="10" ht="15.6" spans="1:2">
      <c r="A10" s="11" t="s">
        <v>14</v>
      </c>
      <c r="B10">
        <v>97.5</v>
      </c>
    </row>
    <row r="11" ht="15.6" spans="1:2">
      <c r="A11" s="11" t="s">
        <v>12</v>
      </c>
      <c r="B11">
        <v>97.5</v>
      </c>
    </row>
    <row r="12" ht="15.6" spans="1:2">
      <c r="A12" s="7" t="s">
        <v>18</v>
      </c>
      <c r="B12">
        <v>10</v>
      </c>
    </row>
    <row r="13" spans="1:2">
      <c r="A13" s="8" t="s">
        <v>19</v>
      </c>
      <c r="B13">
        <v>10</v>
      </c>
    </row>
    <row r="14" ht="15.6" spans="1:2">
      <c r="A14" s="7" t="s">
        <v>25</v>
      </c>
      <c r="B14">
        <v>10</v>
      </c>
    </row>
    <row r="15" spans="1:2">
      <c r="A15" s="12" t="s">
        <v>24</v>
      </c>
      <c r="B15">
        <v>91</v>
      </c>
    </row>
    <row r="16" ht="15.6" spans="1:2">
      <c r="A16" s="9" t="s">
        <v>20</v>
      </c>
      <c r="B16">
        <v>84.5</v>
      </c>
    </row>
    <row r="17" ht="15.6" spans="1:2">
      <c r="A17" s="9" t="s">
        <v>26</v>
      </c>
      <c r="B17">
        <v>84.5</v>
      </c>
    </row>
    <row r="18" spans="1:2">
      <c r="A18" s="10" t="s">
        <v>23</v>
      </c>
      <c r="B18">
        <v>104</v>
      </c>
    </row>
    <row r="19" ht="15.6" spans="1:2">
      <c r="A19" s="11" t="s">
        <v>21</v>
      </c>
      <c r="B19">
        <v>104</v>
      </c>
    </row>
    <row r="20" ht="15.6" spans="1:2">
      <c r="A20" s="7" t="s">
        <v>117</v>
      </c>
      <c r="B20">
        <v>0</v>
      </c>
    </row>
    <row r="21" ht="15.6" spans="1:2">
      <c r="A21" s="7" t="s">
        <v>33</v>
      </c>
      <c r="B21">
        <v>0</v>
      </c>
    </row>
    <row r="22" ht="15.6" spans="1:2">
      <c r="A22" s="7" t="s">
        <v>29</v>
      </c>
      <c r="B22">
        <v>0</v>
      </c>
    </row>
    <row r="23" spans="1:2">
      <c r="A23" s="12" t="s">
        <v>32</v>
      </c>
      <c r="B23">
        <v>13</v>
      </c>
    </row>
    <row r="24" spans="1:2">
      <c r="A24" s="12" t="s">
        <v>28</v>
      </c>
      <c r="B24">
        <v>32.5</v>
      </c>
    </row>
    <row r="25" spans="1:2">
      <c r="A25" s="10" t="s">
        <v>30</v>
      </c>
      <c r="B25">
        <v>13</v>
      </c>
    </row>
    <row r="26" ht="15.6" spans="1:2">
      <c r="A26" s="11" t="s">
        <v>31</v>
      </c>
      <c r="B26">
        <v>19.5</v>
      </c>
    </row>
    <row r="27" ht="15.6" spans="1:2">
      <c r="A27" s="7" t="s">
        <v>36</v>
      </c>
      <c r="B27">
        <v>0</v>
      </c>
    </row>
    <row r="28" spans="1:2">
      <c r="A28" s="8" t="s">
        <v>35</v>
      </c>
      <c r="B28">
        <v>0</v>
      </c>
    </row>
    <row r="29" ht="15.6" spans="1:2">
      <c r="A29" s="9" t="s">
        <v>40</v>
      </c>
      <c r="B29">
        <v>0</v>
      </c>
    </row>
    <row r="30" ht="15.6" spans="1:2">
      <c r="A30" s="9" t="s">
        <v>39</v>
      </c>
      <c r="B30">
        <v>19.5</v>
      </c>
    </row>
    <row r="31" spans="1:2">
      <c r="A31" s="10" t="s">
        <v>38</v>
      </c>
      <c r="B31">
        <v>13</v>
      </c>
    </row>
    <row r="32" ht="15.6" spans="1:2">
      <c r="A32" s="11" t="s">
        <v>37</v>
      </c>
      <c r="B32">
        <v>13</v>
      </c>
    </row>
    <row r="33" ht="15.6" spans="1:2">
      <c r="A33" s="7" t="s">
        <v>41</v>
      </c>
      <c r="B33">
        <v>0</v>
      </c>
    </row>
    <row r="34" spans="1:2">
      <c r="A34" s="8" t="s">
        <v>42</v>
      </c>
      <c r="B34">
        <v>10</v>
      </c>
    </row>
    <row r="35" ht="15.6" spans="1:2">
      <c r="A35" s="9" t="s">
        <v>118</v>
      </c>
      <c r="B35">
        <v>0</v>
      </c>
    </row>
    <row r="36" spans="1:2">
      <c r="A36" s="12" t="s">
        <v>43</v>
      </c>
      <c r="B36">
        <v>26</v>
      </c>
    </row>
    <row r="37" spans="1:2">
      <c r="A37" s="8" t="s">
        <v>44</v>
      </c>
      <c r="B37">
        <v>0</v>
      </c>
    </row>
    <row r="38" ht="15.6" spans="1:2">
      <c r="A38" s="7" t="s">
        <v>50</v>
      </c>
      <c r="B38">
        <v>0</v>
      </c>
    </row>
    <row r="39" spans="1:2">
      <c r="A39" s="8" t="s">
        <v>51</v>
      </c>
      <c r="B39">
        <v>0</v>
      </c>
    </row>
    <row r="40" ht="15.6" spans="1:2">
      <c r="A40" s="9" t="s">
        <v>46</v>
      </c>
      <c r="B40">
        <v>6.5</v>
      </c>
    </row>
    <row r="41" ht="15.6" spans="1:2">
      <c r="A41" s="9" t="s">
        <v>106</v>
      </c>
      <c r="B41">
        <v>0</v>
      </c>
    </row>
    <row r="42" ht="15.6" spans="1:2">
      <c r="A42" s="9" t="s">
        <v>48</v>
      </c>
      <c r="B42">
        <v>13</v>
      </c>
    </row>
    <row r="43" spans="1:2">
      <c r="A43" s="12" t="s">
        <v>53</v>
      </c>
      <c r="B43">
        <v>13</v>
      </c>
    </row>
    <row r="44" ht="15.6" spans="1:2">
      <c r="A44" s="11" t="s">
        <v>45</v>
      </c>
      <c r="B44">
        <v>26</v>
      </c>
    </row>
    <row r="45" spans="1:2">
      <c r="A45" s="10" t="s">
        <v>49</v>
      </c>
      <c r="B45">
        <v>19.5</v>
      </c>
    </row>
    <row r="46" spans="1:2">
      <c r="A46" s="10" t="s">
        <v>52</v>
      </c>
      <c r="B46">
        <v>13</v>
      </c>
    </row>
    <row r="47" spans="1:2">
      <c r="A47" s="23" t="s">
        <v>112</v>
      </c>
      <c r="B47">
        <v>91</v>
      </c>
    </row>
    <row r="48" spans="1:2">
      <c r="A48" s="23" t="s">
        <v>113</v>
      </c>
      <c r="B48">
        <v>104</v>
      </c>
    </row>
    <row r="49" spans="1:2">
      <c r="A49" s="23" t="s">
        <v>114</v>
      </c>
      <c r="B49">
        <v>0</v>
      </c>
    </row>
    <row r="50" spans="1:2">
      <c r="A50" s="24" t="s">
        <v>115</v>
      </c>
      <c r="B50">
        <v>10</v>
      </c>
    </row>
    <row r="51" spans="1:2">
      <c r="A51" s="23" t="s">
        <v>61</v>
      </c>
      <c r="B51">
        <v>39</v>
      </c>
    </row>
    <row r="52" spans="1:2">
      <c r="A52" s="23" t="s">
        <v>63</v>
      </c>
      <c r="B52">
        <v>97.5</v>
      </c>
    </row>
    <row r="53" spans="1:2">
      <c r="A53" s="23" t="s">
        <v>22</v>
      </c>
      <c r="B53">
        <v>110.5</v>
      </c>
    </row>
    <row r="54" spans="1:2">
      <c r="A54" s="23" t="s">
        <v>68</v>
      </c>
      <c r="B54">
        <v>26</v>
      </c>
    </row>
    <row r="55" spans="1:2">
      <c r="A55" s="23" t="s">
        <v>70</v>
      </c>
      <c r="B55">
        <v>13</v>
      </c>
    </row>
    <row r="56" spans="1:2">
      <c r="A56" s="23" t="s">
        <v>73</v>
      </c>
      <c r="B56">
        <v>19.5</v>
      </c>
    </row>
    <row r="57" spans="1:2">
      <c r="A57" s="23" t="s">
        <v>76</v>
      </c>
      <c r="B57">
        <v>13</v>
      </c>
    </row>
    <row r="58" spans="1:2">
      <c r="A58" s="23" t="s">
        <v>77</v>
      </c>
      <c r="B58">
        <v>0</v>
      </c>
    </row>
    <row r="59" spans="1:2">
      <c r="A59" s="23" t="s">
        <v>71</v>
      </c>
      <c r="B59">
        <v>13</v>
      </c>
    </row>
    <row r="60" spans="1:2">
      <c r="A60" s="23" t="s">
        <v>116</v>
      </c>
      <c r="B60">
        <v>13</v>
      </c>
    </row>
    <row r="61" spans="1:2">
      <c r="A61" s="23" t="s">
        <v>65</v>
      </c>
      <c r="B61">
        <v>6.5</v>
      </c>
    </row>
    <row r="62" spans="1:2">
      <c r="A62" s="24" t="s">
        <v>54</v>
      </c>
      <c r="B62">
        <v>19.5</v>
      </c>
    </row>
    <row r="63" spans="1:2">
      <c r="A63" s="24" t="s">
        <v>119</v>
      </c>
      <c r="B63">
        <v>6.5</v>
      </c>
    </row>
    <row r="64" spans="1:2">
      <c r="A64" s="24" t="s">
        <v>120</v>
      </c>
      <c r="B64">
        <v>0</v>
      </c>
    </row>
    <row r="65" spans="1:2">
      <c r="A65" s="24" t="s">
        <v>69</v>
      </c>
      <c r="B65">
        <v>0</v>
      </c>
    </row>
    <row r="66" spans="1:2">
      <c r="A66" s="24" t="s">
        <v>81</v>
      </c>
      <c r="B66">
        <v>0</v>
      </c>
    </row>
    <row r="67" spans="1:2">
      <c r="A67" s="24" t="s">
        <v>85</v>
      </c>
      <c r="B67">
        <v>0</v>
      </c>
    </row>
    <row r="68" spans="1:2">
      <c r="A68" t="s">
        <v>89</v>
      </c>
      <c r="B68">
        <v>0</v>
      </c>
    </row>
    <row r="69" spans="1:2">
      <c r="A69" t="s">
        <v>101</v>
      </c>
      <c r="B69">
        <v>13</v>
      </c>
    </row>
    <row r="70" spans="1:2">
      <c r="A70" t="s">
        <v>98</v>
      </c>
      <c r="B70">
        <v>6.5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10" sqref="I10"/>
    </sheetView>
  </sheetViews>
  <sheetFormatPr defaultColWidth="9" defaultRowHeight="14.4" outlineLevelCol="7"/>
  <sheetData>
    <row r="1" ht="28.8" spans="1:8">
      <c r="A1" s="17" t="s">
        <v>121</v>
      </c>
      <c r="B1" s="18" t="s">
        <v>122</v>
      </c>
      <c r="C1" s="18" t="s">
        <v>123</v>
      </c>
      <c r="D1" s="18" t="s">
        <v>124</v>
      </c>
      <c r="E1" s="18" t="s">
        <v>125</v>
      </c>
      <c r="F1" s="18" t="s">
        <v>126</v>
      </c>
      <c r="G1" s="18" t="s">
        <v>127</v>
      </c>
      <c r="H1" s="18" t="s">
        <v>128</v>
      </c>
    </row>
    <row r="2" ht="28.8" spans="1:8">
      <c r="A2" s="17" t="s">
        <v>129</v>
      </c>
      <c r="B2" s="18" t="s">
        <v>123</v>
      </c>
      <c r="C2" s="18" t="s">
        <v>130</v>
      </c>
      <c r="D2" s="18" t="s">
        <v>131</v>
      </c>
      <c r="E2" s="18" t="s">
        <v>124</v>
      </c>
      <c r="F2" s="18" t="s">
        <v>127</v>
      </c>
      <c r="G2" s="18" t="s">
        <v>132</v>
      </c>
      <c r="H2" s="18" t="s">
        <v>126</v>
      </c>
    </row>
    <row r="3" ht="28.8" spans="1:8">
      <c r="A3" s="17" t="s">
        <v>133</v>
      </c>
      <c r="B3" s="18" t="s">
        <v>130</v>
      </c>
      <c r="C3" s="18" t="s">
        <v>122</v>
      </c>
      <c r="D3" s="18" t="s">
        <v>125</v>
      </c>
      <c r="E3" s="18" t="s">
        <v>131</v>
      </c>
      <c r="F3" s="18" t="s">
        <v>132</v>
      </c>
      <c r="G3" s="18" t="s">
        <v>126</v>
      </c>
      <c r="H3" s="18" t="s">
        <v>124</v>
      </c>
    </row>
    <row r="4" spans="1:8">
      <c r="A4" s="19"/>
      <c r="B4" s="19"/>
      <c r="C4" s="19"/>
      <c r="D4" s="19"/>
      <c r="E4" s="19"/>
      <c r="F4" s="19"/>
      <c r="G4" s="19"/>
      <c r="H4" s="19"/>
    </row>
    <row r="5" ht="17.4" spans="1:8">
      <c r="A5" s="20" t="s">
        <v>134</v>
      </c>
      <c r="B5" s="20"/>
      <c r="C5" s="20"/>
      <c r="D5" s="20"/>
      <c r="E5" s="20"/>
      <c r="F5" s="20"/>
      <c r="G5" s="20"/>
      <c r="H5" s="20"/>
    </row>
    <row r="6" ht="15.6" spans="1:8">
      <c r="A6" s="17"/>
      <c r="B6" s="17" t="s">
        <v>135</v>
      </c>
      <c r="C6" s="17" t="s">
        <v>136</v>
      </c>
      <c r="D6" s="17" t="s">
        <v>137</v>
      </c>
      <c r="E6" s="17" t="s">
        <v>138</v>
      </c>
      <c r="F6" s="17" t="s">
        <v>139</v>
      </c>
      <c r="G6" s="17" t="s">
        <v>140</v>
      </c>
      <c r="H6" s="17" t="s">
        <v>141</v>
      </c>
    </row>
    <row r="7" ht="28.8" spans="1:8">
      <c r="A7" s="17" t="s">
        <v>121</v>
      </c>
      <c r="B7" s="18" t="s">
        <v>122</v>
      </c>
      <c r="C7" s="18" t="s">
        <v>123</v>
      </c>
      <c r="D7" s="18" t="s">
        <v>124</v>
      </c>
      <c r="E7" s="18" t="s">
        <v>125</v>
      </c>
      <c r="F7" s="18" t="s">
        <v>126</v>
      </c>
      <c r="G7" s="18" t="s">
        <v>127</v>
      </c>
      <c r="H7" s="18" t="s">
        <v>128</v>
      </c>
    </row>
    <row r="10" ht="17.4" spans="1:7">
      <c r="A10" s="21" t="s">
        <v>50</v>
      </c>
      <c r="B10" s="21" t="s">
        <v>51</v>
      </c>
      <c r="C10" s="21" t="s">
        <v>117</v>
      </c>
      <c r="D10" s="21" t="s">
        <v>41</v>
      </c>
      <c r="E10" s="21" t="s">
        <v>36</v>
      </c>
      <c r="F10" s="21" t="s">
        <v>33</v>
      </c>
      <c r="G10" s="21" t="s">
        <v>29</v>
      </c>
    </row>
    <row r="11" ht="17.4" spans="1:7">
      <c r="A11" s="21" t="s">
        <v>51</v>
      </c>
      <c r="B11" s="21" t="s">
        <v>44</v>
      </c>
      <c r="C11" s="21" t="s">
        <v>41</v>
      </c>
      <c r="D11" s="21" t="s">
        <v>36</v>
      </c>
      <c r="E11" s="21" t="s">
        <v>33</v>
      </c>
      <c r="F11" s="21" t="s">
        <v>69</v>
      </c>
      <c r="G11" s="21" t="s">
        <v>35</v>
      </c>
    </row>
    <row r="12" ht="17.4" spans="1:7">
      <c r="A12" s="21" t="s">
        <v>44</v>
      </c>
      <c r="B12" s="21" t="s">
        <v>50</v>
      </c>
      <c r="C12" s="21" t="s">
        <v>35</v>
      </c>
      <c r="D12" s="21" t="s">
        <v>29</v>
      </c>
      <c r="E12" s="21" t="s">
        <v>41</v>
      </c>
      <c r="F12" s="21" t="s">
        <v>36</v>
      </c>
      <c r="G12" s="21" t="s">
        <v>69</v>
      </c>
    </row>
    <row r="13" ht="17.4" spans="1:7">
      <c r="A13" s="21" t="s">
        <v>50</v>
      </c>
      <c r="B13" s="21" t="s">
        <v>51</v>
      </c>
      <c r="C13" s="21" t="s">
        <v>117</v>
      </c>
      <c r="D13" s="21" t="s">
        <v>41</v>
      </c>
      <c r="E13" s="21" t="s">
        <v>36</v>
      </c>
      <c r="F13" s="21" t="s">
        <v>33</v>
      </c>
      <c r="G13" s="21" t="s">
        <v>29</v>
      </c>
    </row>
  </sheetData>
  <mergeCells count="1">
    <mergeCell ref="A5:H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9"/>
  <sheetViews>
    <sheetView workbookViewId="0">
      <selection activeCell="A1" sqref="A1:F55"/>
    </sheetView>
  </sheetViews>
  <sheetFormatPr defaultColWidth="8.72222222222222" defaultRowHeight="23.15" customHeight="1" outlineLevelCol="5"/>
  <cols>
    <col min="1" max="1" width="12.6296296296296" customWidth="1"/>
    <col min="2" max="6" width="13.6296296296296" customWidth="1"/>
  </cols>
  <sheetData>
    <row r="1" ht="27.75" customHeight="1" spans="1:6">
      <c r="A1" s="1" t="s">
        <v>142</v>
      </c>
      <c r="B1" s="1"/>
      <c r="C1" s="1"/>
      <c r="D1" s="1"/>
      <c r="E1" s="1"/>
      <c r="F1" s="2"/>
    </row>
    <row r="2" ht="32.25" customHeight="1" spans="1:6">
      <c r="A2" s="3"/>
      <c r="B2" s="4"/>
      <c r="C2" s="5"/>
      <c r="D2" s="5"/>
      <c r="E2" s="5"/>
      <c r="F2" s="6"/>
    </row>
    <row r="3" hidden="1" customHeight="1" spans="1:6">
      <c r="A3" s="7" t="s">
        <v>83</v>
      </c>
      <c r="B3" s="3">
        <v>2</v>
      </c>
      <c r="C3" s="3">
        <v>2</v>
      </c>
      <c r="D3" s="3">
        <v>0</v>
      </c>
      <c r="E3" s="3">
        <v>2</v>
      </c>
      <c r="F3" s="3"/>
    </row>
    <row r="4" hidden="1" customHeight="1" spans="1:6">
      <c r="A4" s="8" t="s">
        <v>15</v>
      </c>
      <c r="B4" s="3">
        <v>4</v>
      </c>
      <c r="C4" s="3">
        <v>4</v>
      </c>
      <c r="D4" s="3">
        <v>4</v>
      </c>
      <c r="E4" s="3">
        <v>4</v>
      </c>
      <c r="F4" s="3"/>
    </row>
    <row r="5" hidden="1" customHeight="1" spans="1:6">
      <c r="A5" s="7" t="s">
        <v>8</v>
      </c>
      <c r="B5" s="3">
        <v>4</v>
      </c>
      <c r="C5" s="3">
        <v>4</v>
      </c>
      <c r="D5" s="3">
        <v>4</v>
      </c>
      <c r="E5" s="3">
        <v>4</v>
      </c>
      <c r="F5" s="3"/>
    </row>
    <row r="6" hidden="1" customHeight="1" spans="1:6">
      <c r="A6" s="7" t="s">
        <v>9</v>
      </c>
      <c r="B6" s="3">
        <v>4</v>
      </c>
      <c r="C6" s="3">
        <v>4</v>
      </c>
      <c r="D6" s="3">
        <v>4</v>
      </c>
      <c r="E6" s="3">
        <v>4</v>
      </c>
      <c r="F6" s="3"/>
    </row>
    <row r="7" hidden="1" customHeight="1" spans="1:6">
      <c r="A7" s="9" t="s">
        <v>11</v>
      </c>
      <c r="B7" s="3">
        <v>1</v>
      </c>
      <c r="C7" s="3">
        <v>2</v>
      </c>
      <c r="D7" s="3">
        <v>2</v>
      </c>
      <c r="E7" s="3">
        <v>2</v>
      </c>
      <c r="F7" s="3"/>
    </row>
    <row r="8" hidden="1" customHeight="1" spans="1:6">
      <c r="A8" s="9" t="s">
        <v>16</v>
      </c>
      <c r="B8" s="3">
        <v>2</v>
      </c>
      <c r="C8" s="3">
        <v>4</v>
      </c>
      <c r="D8" s="3">
        <v>4</v>
      </c>
      <c r="E8" s="3">
        <v>4</v>
      </c>
      <c r="F8" s="3"/>
    </row>
    <row r="9" hidden="1" customHeight="1" spans="1:6">
      <c r="A9" s="9" t="s">
        <v>17</v>
      </c>
      <c r="B9" s="3">
        <v>2</v>
      </c>
      <c r="C9" s="3">
        <v>4</v>
      </c>
      <c r="D9" s="3">
        <v>4</v>
      </c>
      <c r="E9" s="3">
        <v>4</v>
      </c>
      <c r="F9" s="3"/>
    </row>
    <row r="10" hidden="1" customHeight="1" spans="1:6">
      <c r="A10" s="10" t="s">
        <v>13</v>
      </c>
      <c r="B10" s="3">
        <v>1</v>
      </c>
      <c r="C10" s="3">
        <v>4</v>
      </c>
      <c r="D10" s="3">
        <v>4</v>
      </c>
      <c r="E10" s="3">
        <v>4</v>
      </c>
      <c r="F10" s="3"/>
    </row>
    <row r="11" hidden="1" customHeight="1" spans="1:6">
      <c r="A11" s="11" t="s">
        <v>14</v>
      </c>
      <c r="B11" s="3">
        <v>1</v>
      </c>
      <c r="C11" s="3">
        <v>4</v>
      </c>
      <c r="D11" s="3">
        <v>4</v>
      </c>
      <c r="E11" s="3">
        <v>4</v>
      </c>
      <c r="F11" s="3"/>
    </row>
    <row r="12" hidden="1" customHeight="1" spans="1:6">
      <c r="A12" s="11" t="s">
        <v>12</v>
      </c>
      <c r="B12" s="3">
        <v>1</v>
      </c>
      <c r="C12" s="3">
        <v>4</v>
      </c>
      <c r="D12" s="3">
        <v>4</v>
      </c>
      <c r="E12" s="3">
        <v>4</v>
      </c>
      <c r="F12" s="3"/>
    </row>
    <row r="13" hidden="1" customHeight="1" spans="1:6">
      <c r="A13" s="7" t="s">
        <v>18</v>
      </c>
      <c r="B13" s="3">
        <v>4</v>
      </c>
      <c r="C13" s="3">
        <v>4</v>
      </c>
      <c r="D13" s="3">
        <v>4</v>
      </c>
      <c r="E13" s="3">
        <v>4</v>
      </c>
      <c r="F13" s="3"/>
    </row>
    <row r="14" hidden="1" customHeight="1" spans="1:6">
      <c r="A14" s="8" t="s">
        <v>19</v>
      </c>
      <c r="B14" s="3">
        <v>2</v>
      </c>
      <c r="C14" s="3">
        <v>2</v>
      </c>
      <c r="D14" s="3">
        <v>2</v>
      </c>
      <c r="E14" s="3">
        <v>2</v>
      </c>
      <c r="F14" s="3"/>
    </row>
    <row r="15" hidden="1" customHeight="1" spans="1:6">
      <c r="A15" s="7" t="s">
        <v>25</v>
      </c>
      <c r="B15" s="3">
        <v>4</v>
      </c>
      <c r="C15" s="3">
        <v>4</v>
      </c>
      <c r="D15" s="3">
        <v>4</v>
      </c>
      <c r="E15" s="3">
        <v>4</v>
      </c>
      <c r="F15" s="3"/>
    </row>
    <row r="16" hidden="1" customHeight="1" spans="1:6">
      <c r="A16" s="12" t="s">
        <v>24</v>
      </c>
      <c r="B16" s="3">
        <v>2</v>
      </c>
      <c r="C16" s="3">
        <v>2</v>
      </c>
      <c r="D16" s="3">
        <v>5</v>
      </c>
      <c r="E16" s="3">
        <v>4</v>
      </c>
      <c r="F16" s="3"/>
    </row>
    <row r="17" hidden="1" customHeight="1" spans="1:6">
      <c r="A17" s="9" t="s">
        <v>20</v>
      </c>
      <c r="B17" s="3">
        <v>2</v>
      </c>
      <c r="C17" s="3">
        <v>4</v>
      </c>
      <c r="D17" s="3">
        <v>4</v>
      </c>
      <c r="E17" s="3">
        <v>4</v>
      </c>
      <c r="F17" s="3"/>
    </row>
    <row r="18" hidden="1" customHeight="1" spans="1:6">
      <c r="A18" s="9" t="s">
        <v>26</v>
      </c>
      <c r="B18" s="3">
        <v>2</v>
      </c>
      <c r="C18" s="3">
        <v>4</v>
      </c>
      <c r="D18" s="3">
        <v>4</v>
      </c>
      <c r="E18" s="3">
        <v>4</v>
      </c>
      <c r="F18" s="3"/>
    </row>
    <row r="19" hidden="1" customHeight="1" spans="1:6">
      <c r="A19" s="10" t="s">
        <v>23</v>
      </c>
      <c r="B19" s="3">
        <v>2</v>
      </c>
      <c r="C19" s="3">
        <v>4</v>
      </c>
      <c r="D19" s="3">
        <v>4</v>
      </c>
      <c r="E19" s="3">
        <v>4</v>
      </c>
      <c r="F19" s="3"/>
    </row>
    <row r="20" hidden="1" customHeight="1" spans="1:6">
      <c r="A20" s="11" t="s">
        <v>21</v>
      </c>
      <c r="B20" s="3">
        <v>2</v>
      </c>
      <c r="C20" s="3">
        <v>4</v>
      </c>
      <c r="D20" s="3">
        <v>4</v>
      </c>
      <c r="E20" s="3">
        <v>4</v>
      </c>
      <c r="F20" s="3"/>
    </row>
    <row r="21" customHeight="1" spans="1:6">
      <c r="A21" s="13" t="s">
        <v>34</v>
      </c>
      <c r="B21" s="14"/>
      <c r="C21" s="3"/>
      <c r="D21" s="3"/>
      <c r="E21" s="3"/>
      <c r="F21" s="3"/>
    </row>
    <row r="22" customHeight="1" spans="1:6">
      <c r="A22" s="13" t="s">
        <v>33</v>
      </c>
      <c r="B22" s="14"/>
      <c r="C22" s="3"/>
      <c r="D22" s="3"/>
      <c r="E22" s="3"/>
      <c r="F22" s="3"/>
    </row>
    <row r="23" customHeight="1" spans="1:6">
      <c r="A23" s="13" t="s">
        <v>29</v>
      </c>
      <c r="B23" s="14"/>
      <c r="C23" s="3"/>
      <c r="D23" s="3"/>
      <c r="E23" s="3"/>
      <c r="F23" s="3"/>
    </row>
    <row r="24" customHeight="1" spans="1:6">
      <c r="A24" s="13" t="s">
        <v>32</v>
      </c>
      <c r="B24" s="14"/>
      <c r="C24" s="3"/>
      <c r="D24" s="3"/>
      <c r="E24" s="3"/>
      <c r="F24" s="3"/>
    </row>
    <row r="25" customHeight="1" spans="1:6">
      <c r="A25" s="13" t="s">
        <v>28</v>
      </c>
      <c r="B25" s="14"/>
      <c r="C25" s="3"/>
      <c r="D25" s="3"/>
      <c r="E25" s="3"/>
      <c r="F25" s="3"/>
    </row>
    <row r="26" customHeight="1" spans="1:6">
      <c r="A26" s="13" t="s">
        <v>30</v>
      </c>
      <c r="B26" s="14"/>
      <c r="C26" s="3"/>
      <c r="D26" s="3"/>
      <c r="E26" s="3"/>
      <c r="F26" s="3"/>
    </row>
    <row r="27" customHeight="1" spans="1:6">
      <c r="A27" s="13" t="s">
        <v>31</v>
      </c>
      <c r="B27" s="14"/>
      <c r="C27" s="3"/>
      <c r="D27" s="3"/>
      <c r="E27" s="3"/>
      <c r="F27" s="3"/>
    </row>
    <row r="28" customHeight="1" spans="1:6">
      <c r="A28" s="13" t="s">
        <v>36</v>
      </c>
      <c r="B28" s="14"/>
      <c r="C28" s="3"/>
      <c r="D28" s="3"/>
      <c r="E28" s="3"/>
      <c r="F28" s="3"/>
    </row>
    <row r="29" customHeight="1" spans="1:6">
      <c r="A29" s="13" t="s">
        <v>35</v>
      </c>
      <c r="B29" s="14"/>
      <c r="C29" s="3"/>
      <c r="D29" s="3"/>
      <c r="E29" s="3"/>
      <c r="F29" s="3"/>
    </row>
    <row r="30" customHeight="1" spans="1:6">
      <c r="A30" s="13" t="s">
        <v>40</v>
      </c>
      <c r="B30" s="14"/>
      <c r="C30" s="3"/>
      <c r="D30" s="3"/>
      <c r="E30" s="3"/>
      <c r="F30" s="3"/>
    </row>
    <row r="31" customHeight="1" spans="1:6">
      <c r="A31" s="13" t="s">
        <v>39</v>
      </c>
      <c r="B31" s="14"/>
      <c r="C31" s="3"/>
      <c r="D31" s="3"/>
      <c r="E31" s="3"/>
      <c r="F31" s="3"/>
    </row>
    <row r="32" customHeight="1" spans="1:6">
      <c r="A32" s="13" t="s">
        <v>38</v>
      </c>
      <c r="B32" s="14"/>
      <c r="C32" s="3"/>
      <c r="D32" s="3"/>
      <c r="E32" s="3"/>
      <c r="F32" s="3"/>
    </row>
    <row r="33" customHeight="1" spans="1:6">
      <c r="A33" s="13" t="s">
        <v>37</v>
      </c>
      <c r="B33" s="14"/>
      <c r="C33" s="3"/>
      <c r="D33" s="3"/>
      <c r="E33" s="3"/>
      <c r="F33" s="3"/>
    </row>
    <row r="34" customHeight="1" spans="1:6">
      <c r="A34" s="13" t="s">
        <v>41</v>
      </c>
      <c r="B34" s="14"/>
      <c r="C34" s="3"/>
      <c r="D34" s="3"/>
      <c r="E34" s="3"/>
      <c r="F34" s="3"/>
    </row>
    <row r="35" customHeight="1" spans="1:6">
      <c r="A35" s="13" t="s">
        <v>42</v>
      </c>
      <c r="B35" s="14"/>
      <c r="C35" s="3"/>
      <c r="D35" s="3"/>
      <c r="E35" s="3"/>
      <c r="F35" s="3"/>
    </row>
    <row r="36" customHeight="1" spans="1:6">
      <c r="A36" s="13" t="s">
        <v>118</v>
      </c>
      <c r="B36" s="14"/>
      <c r="C36" s="3"/>
      <c r="D36" s="3"/>
      <c r="E36" s="3"/>
      <c r="F36" s="3"/>
    </row>
    <row r="37" customHeight="1" spans="1:6">
      <c r="A37" s="13" t="s">
        <v>43</v>
      </c>
      <c r="B37" s="14"/>
      <c r="C37" s="3"/>
      <c r="D37" s="3"/>
      <c r="E37" s="3"/>
      <c r="F37" s="3"/>
    </row>
    <row r="38" customHeight="1" spans="1:6">
      <c r="A38" s="13" t="s">
        <v>44</v>
      </c>
      <c r="B38" s="14"/>
      <c r="C38" s="3"/>
      <c r="D38" s="3"/>
      <c r="E38" s="3"/>
      <c r="F38" s="3"/>
    </row>
    <row r="39" customHeight="1" spans="1:6">
      <c r="A39" s="13" t="s">
        <v>50</v>
      </c>
      <c r="B39" s="14"/>
      <c r="C39" s="3"/>
      <c r="D39" s="3"/>
      <c r="E39" s="3"/>
      <c r="F39" s="3"/>
    </row>
    <row r="40" customHeight="1" spans="1:6">
      <c r="A40" s="13" t="s">
        <v>51</v>
      </c>
      <c r="B40" s="14"/>
      <c r="C40" s="3"/>
      <c r="D40" s="3"/>
      <c r="E40" s="3"/>
      <c r="F40" s="3"/>
    </row>
    <row r="41" customHeight="1" spans="1:6">
      <c r="A41" s="13" t="s">
        <v>46</v>
      </c>
      <c r="B41" s="14"/>
      <c r="C41" s="3"/>
      <c r="D41" s="3"/>
      <c r="E41" s="3"/>
      <c r="F41" s="3"/>
    </row>
    <row r="42" customHeight="1" spans="1:6">
      <c r="A42" s="13" t="s">
        <v>106</v>
      </c>
      <c r="B42" s="14"/>
      <c r="C42" s="3"/>
      <c r="D42" s="3"/>
      <c r="E42" s="3"/>
      <c r="F42" s="3"/>
    </row>
    <row r="43" customHeight="1" spans="1:6">
      <c r="A43" s="13" t="s">
        <v>48</v>
      </c>
      <c r="B43" s="14"/>
      <c r="C43" s="3"/>
      <c r="D43" s="3"/>
      <c r="E43" s="3"/>
      <c r="F43" s="3"/>
    </row>
    <row r="44" customHeight="1" spans="1:6">
      <c r="A44" s="13" t="s">
        <v>53</v>
      </c>
      <c r="B44" s="14"/>
      <c r="C44" s="3"/>
      <c r="D44" s="3"/>
      <c r="E44" s="3"/>
      <c r="F44" s="3"/>
    </row>
    <row r="45" customHeight="1" spans="1:6">
      <c r="A45" s="13" t="s">
        <v>45</v>
      </c>
      <c r="B45" s="14"/>
      <c r="C45" s="3"/>
      <c r="D45" s="3"/>
      <c r="E45" s="3"/>
      <c r="F45" s="3"/>
    </row>
    <row r="46" customHeight="1" spans="1:6">
      <c r="A46" s="13" t="s">
        <v>49</v>
      </c>
      <c r="B46" s="14"/>
      <c r="C46" s="3"/>
      <c r="D46" s="3"/>
      <c r="E46" s="3"/>
      <c r="F46" s="3"/>
    </row>
    <row r="47" customHeight="1" spans="1:6">
      <c r="A47" s="13" t="s">
        <v>52</v>
      </c>
      <c r="B47" s="14"/>
      <c r="C47" s="3"/>
      <c r="D47" s="3"/>
      <c r="E47" s="3"/>
      <c r="F47" s="3"/>
    </row>
    <row r="48" customHeight="1" spans="1:6">
      <c r="A48" s="13" t="s">
        <v>68</v>
      </c>
      <c r="B48" s="14"/>
      <c r="C48" s="3"/>
      <c r="D48" s="3"/>
      <c r="E48" s="3"/>
      <c r="F48" s="3"/>
    </row>
    <row r="49" customHeight="1" spans="1:6">
      <c r="A49" s="13" t="s">
        <v>70</v>
      </c>
      <c r="B49" s="14"/>
      <c r="C49" s="3"/>
      <c r="D49" s="3"/>
      <c r="E49" s="3"/>
      <c r="F49" s="3"/>
    </row>
    <row r="50" customHeight="1" spans="1:6">
      <c r="A50" s="13" t="s">
        <v>73</v>
      </c>
      <c r="B50" s="14"/>
      <c r="C50" s="3"/>
      <c r="D50" s="3"/>
      <c r="E50" s="3"/>
      <c r="F50" s="3"/>
    </row>
    <row r="51" customHeight="1" spans="1:6">
      <c r="A51" s="13" t="s">
        <v>76</v>
      </c>
      <c r="B51" s="14"/>
      <c r="C51" s="3"/>
      <c r="D51" s="3"/>
      <c r="E51" s="3"/>
      <c r="F51" s="3"/>
    </row>
    <row r="52" customHeight="1" spans="1:6">
      <c r="A52" s="13" t="s">
        <v>54</v>
      </c>
      <c r="B52" s="14"/>
      <c r="C52" s="3"/>
      <c r="D52" s="3"/>
      <c r="E52" s="3"/>
      <c r="F52" s="3"/>
    </row>
    <row r="53" customHeight="1" spans="1:6">
      <c r="A53" s="13" t="s">
        <v>119</v>
      </c>
      <c r="B53" s="14"/>
      <c r="C53" s="3"/>
      <c r="D53" s="3"/>
      <c r="E53" s="3"/>
      <c r="F53" s="3"/>
    </row>
    <row r="54" customHeight="1" spans="1:6">
      <c r="A54" s="13" t="s">
        <v>69</v>
      </c>
      <c r="B54" s="14"/>
      <c r="C54" s="3"/>
      <c r="D54" s="3"/>
      <c r="E54" s="3"/>
      <c r="F54" s="3"/>
    </row>
    <row r="55" customHeight="1" spans="1:6">
      <c r="A55" s="15"/>
      <c r="B55" s="14"/>
      <c r="C55" s="3"/>
      <c r="D55" s="3"/>
      <c r="E55" s="3"/>
      <c r="F55" s="3"/>
    </row>
    <row r="56" customHeight="1" spans="1:6">
      <c r="A56" s="15"/>
      <c r="B56" s="14"/>
      <c r="C56" s="3"/>
      <c r="D56" s="3"/>
      <c r="E56" s="3"/>
      <c r="F56" s="3"/>
    </row>
    <row r="57" customHeight="1" spans="1:6">
      <c r="A57" s="15"/>
      <c r="B57" s="14"/>
      <c r="C57" s="3"/>
      <c r="D57" s="3"/>
      <c r="E57" s="3"/>
      <c r="F57" s="3"/>
    </row>
    <row r="58" customHeight="1" spans="1:6">
      <c r="A58" s="14"/>
      <c r="B58" s="14"/>
      <c r="C58" s="3"/>
      <c r="D58" s="3"/>
      <c r="E58" s="3"/>
      <c r="F58" s="3"/>
    </row>
    <row r="59" customHeight="1" spans="5:5">
      <c r="E59" s="16"/>
    </row>
  </sheetData>
  <mergeCells count="1">
    <mergeCell ref="A1:E1"/>
  </mergeCells>
  <printOptions horizontalCentered="1" verticalCentered="1"/>
  <pageMargins left="0.551181102362205" right="0.551181102362205" top="0.196850393700787" bottom="0.196850393700787" header="0.511811023622047" footer="0.511811023622047"/>
  <pageSetup paperSize="9" scale="8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潮州市直及下属单位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早读</vt:lpstr>
      <vt:lpstr>Sheet3</vt:lpstr>
      <vt:lpstr>Sheet1</vt:lpstr>
      <vt:lpstr>Sheet2</vt:lpstr>
      <vt:lpstr>Sheet2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momo</cp:lastModifiedBy>
  <dcterms:created xsi:type="dcterms:W3CDTF">2023-01-06T11:13:00Z</dcterms:created>
  <cp:lastPrinted>2023-03-24T01:22:00Z</cp:lastPrinted>
  <dcterms:modified xsi:type="dcterms:W3CDTF">2023-10-19T13:01:54Z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E8202B79740944E09620C357F9693770_13</vt:lpwstr>
  </property>
</Properties>
</file>