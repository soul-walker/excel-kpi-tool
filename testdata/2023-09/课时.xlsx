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课时" sheetId="1" r:id="rId1"/>
  </sheets>
  <definedNames>
    <definedName name="_xlnm._FilterDatabase" localSheetId="0" hidden="1">课时!$2:$96</definedName>
  </definedNames>
  <calcPr calcId="144525"/>
</workbook>
</file>

<file path=xl/sharedStrings.xml><?xml version="1.0" encoding="utf-8"?>
<sst xmlns="http://schemas.openxmlformats.org/spreadsheetml/2006/main" count="119" uniqueCount="109">
  <si>
    <t>2023-2024学年第二学期浐灞二中高中教师课时量</t>
  </si>
  <si>
    <t>教研组</t>
  </si>
  <si>
    <t>姓名</t>
  </si>
  <si>
    <t>新备课</t>
  </si>
  <si>
    <t>重复课</t>
  </si>
  <si>
    <t>重复课量</t>
  </si>
  <si>
    <t>实授课量</t>
  </si>
  <si>
    <t>作业量</t>
  </si>
  <si>
    <t>总课时量</t>
  </si>
  <si>
    <t>教辅及部管</t>
  </si>
  <si>
    <t>早操</t>
  </si>
  <si>
    <t>跨课</t>
  </si>
  <si>
    <t>总计</t>
  </si>
  <si>
    <t>高中语文</t>
  </si>
  <si>
    <t>李亚红</t>
  </si>
  <si>
    <t>吴玉丹</t>
  </si>
  <si>
    <t>支莹</t>
  </si>
  <si>
    <t>赵晓俊</t>
  </si>
  <si>
    <t>曹颖</t>
  </si>
  <si>
    <t>高晓琳</t>
  </si>
  <si>
    <t>刘欢</t>
  </si>
  <si>
    <t>解凌云</t>
  </si>
  <si>
    <t>杨睿</t>
  </si>
  <si>
    <t>王晓茹</t>
  </si>
  <si>
    <t>雷艳</t>
  </si>
  <si>
    <t>袁萍</t>
  </si>
  <si>
    <t>王泽惠</t>
  </si>
  <si>
    <t>高中数学</t>
  </si>
  <si>
    <t>朱亚军</t>
  </si>
  <si>
    <t>王峰</t>
  </si>
  <si>
    <t>高蕾</t>
  </si>
  <si>
    <t>贾丹琴</t>
  </si>
  <si>
    <t>刘梦花</t>
  </si>
  <si>
    <t>张晓玲</t>
  </si>
  <si>
    <t>肖有福</t>
  </si>
  <si>
    <t>宋娟宁</t>
  </si>
  <si>
    <t>杨杰</t>
  </si>
  <si>
    <t>吴花茹</t>
  </si>
  <si>
    <t>屈韦圩</t>
  </si>
  <si>
    <t>刘亚飞</t>
  </si>
  <si>
    <t>梁笛</t>
  </si>
  <si>
    <t>张小鸽</t>
  </si>
  <si>
    <t>高中英语</t>
  </si>
  <si>
    <t>卢宁祥</t>
  </si>
  <si>
    <t>池爱彬</t>
  </si>
  <si>
    <t>郑宇蕾</t>
  </si>
  <si>
    <t>汪华锋</t>
  </si>
  <si>
    <t>王琳</t>
  </si>
  <si>
    <t>刘雅娇</t>
  </si>
  <si>
    <t>赵玲玉</t>
  </si>
  <si>
    <t>吕红冰</t>
  </si>
  <si>
    <t>刘楠</t>
  </si>
  <si>
    <t>潘晶</t>
  </si>
  <si>
    <t>张新望</t>
  </si>
  <si>
    <t>方垚</t>
  </si>
  <si>
    <t>贾静</t>
  </si>
  <si>
    <t>高中物理</t>
  </si>
  <si>
    <t>山欢</t>
  </si>
  <si>
    <t>李丛丛</t>
  </si>
  <si>
    <t>付冲</t>
  </si>
  <si>
    <t>卜轩</t>
  </si>
  <si>
    <t>王波波</t>
  </si>
  <si>
    <t>李卓</t>
  </si>
  <si>
    <t>段洁</t>
  </si>
  <si>
    <t>赵娟</t>
  </si>
  <si>
    <t>吴红莲</t>
  </si>
  <si>
    <t>刘青</t>
  </si>
  <si>
    <t>张秀利</t>
  </si>
  <si>
    <t>化学组</t>
  </si>
  <si>
    <t>陈晨</t>
  </si>
  <si>
    <t>何濛</t>
  </si>
  <si>
    <t>赵雅</t>
  </si>
  <si>
    <t>陶媛</t>
  </si>
  <si>
    <t>金婷</t>
  </si>
  <si>
    <t>魏军超</t>
  </si>
  <si>
    <t>张荣娟</t>
  </si>
  <si>
    <t>周阿红</t>
  </si>
  <si>
    <t>张长青</t>
  </si>
  <si>
    <t>生物</t>
  </si>
  <si>
    <t>韦东</t>
  </si>
  <si>
    <t>代斌</t>
  </si>
  <si>
    <t>康璐</t>
  </si>
  <si>
    <t>姜小鹏</t>
  </si>
  <si>
    <t>刘艳妮</t>
  </si>
  <si>
    <t>肖雅静</t>
  </si>
  <si>
    <t>政史地组</t>
  </si>
  <si>
    <t>毕文娟</t>
  </si>
  <si>
    <t>朱翠</t>
  </si>
  <si>
    <t>刘一依</t>
  </si>
  <si>
    <t>惠蔚航</t>
  </si>
  <si>
    <t>马盼盼</t>
  </si>
  <si>
    <t>张永利</t>
  </si>
  <si>
    <t>姜宏</t>
  </si>
  <si>
    <t>范瑞成</t>
  </si>
  <si>
    <t>王芙蓉</t>
  </si>
  <si>
    <t>冯宏强</t>
  </si>
  <si>
    <t>王铭</t>
  </si>
  <si>
    <t>韩凯利</t>
  </si>
  <si>
    <t>马红红</t>
  </si>
  <si>
    <t>孙宾</t>
  </si>
  <si>
    <t>屈锦博</t>
  </si>
  <si>
    <t>刘耀</t>
  </si>
  <si>
    <t>郑广昌</t>
  </si>
  <si>
    <t>李卓越</t>
  </si>
  <si>
    <t>李纯福</t>
  </si>
  <si>
    <t>刘怡君</t>
  </si>
  <si>
    <t>薛国庆</t>
  </si>
  <si>
    <t>张煜茜</t>
  </si>
  <si>
    <t>体育组一天5元跟操，不单独计算，只作为旷操的减。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</si>
</sst>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20"/>
      <color theme="1"/>
      <name val="宋体"/>
      <charset val="134"/>
      <scheme val="minor"/>
    </font>
    <font>
      <sz val="20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1"/>
      <color theme="1"/>
      <name val="宋体"/>
      <charset val="134"/>
    </font>
    <font>
      <sz val="12"/>
      <name val="华文细黑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10" borderId="5" applyNumberFormat="0" applyAlignment="0" applyProtection="0">
      <alignment vertical="center"/>
    </xf>
    <xf numFmtId="0" fontId="27" fillId="11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2" borderId="0" xfId="0" applyFill="1" applyAlignme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2" borderId="1" xfId="5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1" xfId="5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176" fontId="11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76" fontId="13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1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176" fontId="7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2" fillId="0" borderId="1" xfId="0" applyFont="1" applyBorder="1" applyAlignment="1"/>
    <xf numFmtId="0" fontId="0" fillId="0" borderId="0" xfId="0" applyBorder="1" applyAlignment="1"/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/>
    <xf numFmtId="0" fontId="5" fillId="2" borderId="0" xfId="0" applyFont="1" applyFill="1" applyBorder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Fill="1" applyBorder="1" applyAlignment="1"/>
    <xf numFmtId="0" fontId="2" fillId="0" borderId="1" xfId="0" applyFont="1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96"/>
  <sheetViews>
    <sheetView tabSelected="1" workbookViewId="0">
      <selection activeCell="K72" sqref="K72"/>
    </sheetView>
  </sheetViews>
  <sheetFormatPr defaultColWidth="8" defaultRowHeight="14.4"/>
  <cols>
    <col min="1" max="1" width="3.5" style="2" customWidth="1"/>
    <col min="2" max="2" width="8.83333333333333" style="2" customWidth="1"/>
    <col min="3" max="3" width="8" style="3" customWidth="1"/>
    <col min="4" max="4" width="8" style="4" customWidth="1"/>
    <col min="5" max="5" width="6.08333333333333" style="2" customWidth="1"/>
    <col min="6" max="6" width="5.25" style="2" customWidth="1"/>
    <col min="7" max="7" width="6.58333333333333" style="2" customWidth="1"/>
    <col min="8" max="8" width="7.08333333333333" style="2" customWidth="1"/>
    <col min="9" max="9" width="7.25" style="2" customWidth="1"/>
    <col min="10" max="10" width="8" style="2" customWidth="1"/>
    <col min="11" max="11" width="11" style="5" customWidth="1"/>
    <col min="12" max="12" width="4.58333333333333" style="2" customWidth="1"/>
    <col min="13" max="13" width="6.58333333333333" style="5" customWidth="1"/>
    <col min="14" max="14" width="7" style="2" customWidth="1"/>
    <col min="15" max="15" width="8.25" style="2" customWidth="1"/>
    <col min="16" max="16" width="7.58333333333333" style="2" customWidth="1"/>
    <col min="17" max="16384" width="8" style="2"/>
  </cols>
  <sheetData>
    <row r="1" ht="31" customHeight="1" spans="1:16">
      <c r="A1" s="6" t="s">
        <v>0</v>
      </c>
      <c r="B1" s="6"/>
      <c r="C1" s="7"/>
      <c r="D1" s="8"/>
      <c r="E1" s="6"/>
      <c r="F1" s="6"/>
      <c r="G1" s="6"/>
      <c r="H1" s="6"/>
      <c r="I1" s="6"/>
      <c r="J1" s="6"/>
      <c r="K1" s="6"/>
      <c r="L1" s="6"/>
      <c r="M1" s="6"/>
      <c r="N1" s="6"/>
      <c r="O1" s="35"/>
      <c r="P1" s="35"/>
    </row>
    <row r="2" spans="1:16">
      <c r="A2" s="9"/>
      <c r="B2" s="10" t="s">
        <v>1</v>
      </c>
      <c r="C2" s="10" t="s">
        <v>2</v>
      </c>
      <c r="D2" s="11"/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9"/>
      <c r="P2" s="9"/>
    </row>
    <row r="3" ht="18" customHeight="1" spans="1:16">
      <c r="A3" s="9">
        <v>1</v>
      </c>
      <c r="B3" s="12" t="s">
        <v>13</v>
      </c>
      <c r="C3" s="13" t="s">
        <v>14</v>
      </c>
      <c r="D3" s="14"/>
      <c r="E3" s="15">
        <v>5</v>
      </c>
      <c r="F3" s="15">
        <v>5</v>
      </c>
      <c r="G3" s="16">
        <f t="shared" ref="G3:G66" si="0">F3*0.2</f>
        <v>1</v>
      </c>
      <c r="H3" s="15">
        <f t="shared" ref="H3:H66" si="1">E3+F3</f>
        <v>10</v>
      </c>
      <c r="I3" s="15">
        <f t="shared" ref="I3:I42" si="2">H3*1.2</f>
        <v>12</v>
      </c>
      <c r="J3" s="16">
        <f t="shared" ref="J3:J66" si="3">SUM(E3+G3+H3+I3)</f>
        <v>28</v>
      </c>
      <c r="K3" s="16"/>
      <c r="L3" s="16"/>
      <c r="M3" s="16"/>
      <c r="N3" s="36">
        <f t="shared" ref="N3:N66" si="4">SUM(J3:M3)</f>
        <v>28</v>
      </c>
      <c r="O3" s="9"/>
      <c r="P3" s="9"/>
    </row>
    <row r="4" ht="18" customHeight="1" spans="1:16">
      <c r="A4" s="9">
        <v>2</v>
      </c>
      <c r="B4" s="12"/>
      <c r="C4" s="17" t="s">
        <v>15</v>
      </c>
      <c r="D4" s="14"/>
      <c r="E4" s="15">
        <v>5</v>
      </c>
      <c r="F4" s="15">
        <v>5</v>
      </c>
      <c r="G4" s="16">
        <f t="shared" si="0"/>
        <v>1</v>
      </c>
      <c r="H4" s="15">
        <f t="shared" si="1"/>
        <v>10</v>
      </c>
      <c r="I4" s="15">
        <f t="shared" si="2"/>
        <v>12</v>
      </c>
      <c r="J4" s="16">
        <f t="shared" si="3"/>
        <v>28</v>
      </c>
      <c r="K4" s="16"/>
      <c r="L4" s="16"/>
      <c r="M4" s="16"/>
      <c r="N4" s="36">
        <f t="shared" si="4"/>
        <v>28</v>
      </c>
      <c r="O4" s="9"/>
      <c r="P4" s="9"/>
    </row>
    <row r="5" ht="18" customHeight="1" spans="1:16">
      <c r="A5" s="9">
        <v>3</v>
      </c>
      <c r="B5" s="12"/>
      <c r="C5" s="17" t="s">
        <v>16</v>
      </c>
      <c r="D5" s="14"/>
      <c r="E5" s="15">
        <v>5</v>
      </c>
      <c r="F5" s="15">
        <v>5</v>
      </c>
      <c r="G5" s="16">
        <f t="shared" si="0"/>
        <v>1</v>
      </c>
      <c r="H5" s="15">
        <f t="shared" si="1"/>
        <v>10</v>
      </c>
      <c r="I5" s="15">
        <f t="shared" si="2"/>
        <v>12</v>
      </c>
      <c r="J5" s="16">
        <f t="shared" si="3"/>
        <v>28</v>
      </c>
      <c r="K5" s="16"/>
      <c r="L5" s="16"/>
      <c r="M5" s="16"/>
      <c r="N5" s="36">
        <f t="shared" si="4"/>
        <v>28</v>
      </c>
      <c r="O5" s="9"/>
      <c r="P5" s="9"/>
    </row>
    <row r="6" ht="18" customHeight="1" spans="1:16">
      <c r="A6" s="9">
        <v>4</v>
      </c>
      <c r="B6" s="12"/>
      <c r="C6" s="13" t="s">
        <v>17</v>
      </c>
      <c r="D6" s="18"/>
      <c r="E6" s="15">
        <v>5</v>
      </c>
      <c r="F6" s="15">
        <v>5</v>
      </c>
      <c r="G6" s="16">
        <f t="shared" si="0"/>
        <v>1</v>
      </c>
      <c r="H6" s="15">
        <f t="shared" si="1"/>
        <v>10</v>
      </c>
      <c r="I6" s="15">
        <f t="shared" si="2"/>
        <v>12</v>
      </c>
      <c r="J6" s="16">
        <f t="shared" si="3"/>
        <v>28</v>
      </c>
      <c r="K6" s="16"/>
      <c r="L6" s="16"/>
      <c r="M6" s="16"/>
      <c r="N6" s="36">
        <f t="shared" si="4"/>
        <v>28</v>
      </c>
      <c r="O6" s="37"/>
      <c r="P6" s="9"/>
    </row>
    <row r="7" ht="18" customHeight="1" spans="1:16">
      <c r="A7" s="9">
        <v>5</v>
      </c>
      <c r="B7" s="12"/>
      <c r="C7" s="13" t="s">
        <v>18</v>
      </c>
      <c r="D7" s="18"/>
      <c r="E7" s="15">
        <v>5</v>
      </c>
      <c r="F7" s="15">
        <v>5</v>
      </c>
      <c r="G7" s="16">
        <f t="shared" si="0"/>
        <v>1</v>
      </c>
      <c r="H7" s="15">
        <f t="shared" si="1"/>
        <v>10</v>
      </c>
      <c r="I7" s="15">
        <f t="shared" si="2"/>
        <v>12</v>
      </c>
      <c r="J7" s="16">
        <f t="shared" si="3"/>
        <v>28</v>
      </c>
      <c r="K7" s="16"/>
      <c r="L7" s="16"/>
      <c r="M7" s="16"/>
      <c r="N7" s="36">
        <f t="shared" si="4"/>
        <v>28</v>
      </c>
      <c r="O7" s="37"/>
      <c r="P7" s="9"/>
    </row>
    <row r="8" ht="18" customHeight="1" spans="1:16">
      <c r="A8" s="9">
        <v>6</v>
      </c>
      <c r="B8" s="12"/>
      <c r="C8" s="13" t="s">
        <v>19</v>
      </c>
      <c r="D8" s="18"/>
      <c r="E8" s="15">
        <v>5</v>
      </c>
      <c r="F8" s="15">
        <v>0</v>
      </c>
      <c r="G8" s="16">
        <f t="shared" si="0"/>
        <v>0</v>
      </c>
      <c r="H8" s="15">
        <f t="shared" si="1"/>
        <v>5</v>
      </c>
      <c r="I8" s="15">
        <f t="shared" si="2"/>
        <v>6</v>
      </c>
      <c r="J8" s="16">
        <f t="shared" si="3"/>
        <v>16</v>
      </c>
      <c r="K8" s="16"/>
      <c r="L8" s="16"/>
      <c r="M8" s="16"/>
      <c r="N8" s="36">
        <f t="shared" si="4"/>
        <v>16</v>
      </c>
      <c r="O8" s="9"/>
      <c r="P8" s="9"/>
    </row>
    <row r="9" ht="18" customHeight="1" spans="1:16">
      <c r="A9" s="9">
        <v>7</v>
      </c>
      <c r="B9" s="12"/>
      <c r="C9" s="19" t="s">
        <v>20</v>
      </c>
      <c r="D9" s="18"/>
      <c r="E9" s="15">
        <v>6</v>
      </c>
      <c r="F9" s="15">
        <v>6</v>
      </c>
      <c r="G9" s="16">
        <f t="shared" si="0"/>
        <v>1.2</v>
      </c>
      <c r="H9" s="15">
        <f t="shared" si="1"/>
        <v>12</v>
      </c>
      <c r="I9" s="15">
        <f t="shared" si="2"/>
        <v>14.4</v>
      </c>
      <c r="J9" s="16">
        <f t="shared" si="3"/>
        <v>33.6</v>
      </c>
      <c r="K9" s="38"/>
      <c r="L9" s="38"/>
      <c r="M9" s="39"/>
      <c r="N9" s="36">
        <f t="shared" si="4"/>
        <v>33.6</v>
      </c>
      <c r="O9" s="9"/>
      <c r="P9" s="9"/>
    </row>
    <row r="10" ht="18" customHeight="1" spans="1:16">
      <c r="A10" s="9">
        <v>8</v>
      </c>
      <c r="B10" s="12"/>
      <c r="C10" s="19" t="s">
        <v>21</v>
      </c>
      <c r="D10" s="20"/>
      <c r="E10" s="15">
        <v>6</v>
      </c>
      <c r="F10" s="15">
        <v>6</v>
      </c>
      <c r="G10" s="16">
        <f t="shared" si="0"/>
        <v>1.2</v>
      </c>
      <c r="H10" s="15">
        <f t="shared" si="1"/>
        <v>12</v>
      </c>
      <c r="I10" s="15">
        <f t="shared" si="2"/>
        <v>14.4</v>
      </c>
      <c r="J10" s="16">
        <f t="shared" si="3"/>
        <v>33.6</v>
      </c>
      <c r="K10" s="16"/>
      <c r="L10" s="16"/>
      <c r="M10" s="16"/>
      <c r="N10" s="36">
        <f t="shared" si="4"/>
        <v>33.6</v>
      </c>
      <c r="O10" s="9"/>
      <c r="P10" s="9"/>
    </row>
    <row r="11" ht="18" customHeight="1" spans="1:16">
      <c r="A11" s="9">
        <v>9</v>
      </c>
      <c r="B11" s="12"/>
      <c r="C11" s="19" t="s">
        <v>22</v>
      </c>
      <c r="D11" s="20"/>
      <c r="E11" s="15">
        <v>6</v>
      </c>
      <c r="F11" s="15">
        <v>6</v>
      </c>
      <c r="G11" s="16">
        <f t="shared" si="0"/>
        <v>1.2</v>
      </c>
      <c r="H11" s="15">
        <f t="shared" si="1"/>
        <v>12</v>
      </c>
      <c r="I11" s="15">
        <f t="shared" si="2"/>
        <v>14.4</v>
      </c>
      <c r="J11" s="16">
        <f t="shared" si="3"/>
        <v>33.6</v>
      </c>
      <c r="K11" s="40"/>
      <c r="L11" s="40"/>
      <c r="M11" s="16"/>
      <c r="N11" s="36">
        <f t="shared" si="4"/>
        <v>33.6</v>
      </c>
      <c r="O11" s="9"/>
      <c r="P11" s="9"/>
    </row>
    <row r="12" ht="18" customHeight="1" spans="1:16">
      <c r="A12" s="9">
        <v>10</v>
      </c>
      <c r="B12" s="12"/>
      <c r="C12" s="19" t="s">
        <v>23</v>
      </c>
      <c r="D12" s="20"/>
      <c r="E12" s="15">
        <v>6</v>
      </c>
      <c r="F12" s="15">
        <v>6</v>
      </c>
      <c r="G12" s="16">
        <f t="shared" si="0"/>
        <v>1.2</v>
      </c>
      <c r="H12" s="15">
        <f t="shared" si="1"/>
        <v>12</v>
      </c>
      <c r="I12" s="15">
        <f t="shared" si="2"/>
        <v>14.4</v>
      </c>
      <c r="J12" s="16">
        <f t="shared" si="3"/>
        <v>33.6</v>
      </c>
      <c r="K12" s="16"/>
      <c r="L12" s="16"/>
      <c r="M12" s="16"/>
      <c r="N12" s="36">
        <f t="shared" si="4"/>
        <v>33.6</v>
      </c>
      <c r="O12" s="9"/>
      <c r="P12" s="9"/>
    </row>
    <row r="13" ht="18" customHeight="1" spans="1:16">
      <c r="A13" s="9">
        <v>11</v>
      </c>
      <c r="B13" s="12"/>
      <c r="C13" s="21" t="s">
        <v>24</v>
      </c>
      <c r="D13" s="20"/>
      <c r="E13" s="15">
        <v>6</v>
      </c>
      <c r="F13" s="15">
        <v>6</v>
      </c>
      <c r="G13" s="16">
        <f t="shared" si="0"/>
        <v>1.2</v>
      </c>
      <c r="H13" s="15">
        <f t="shared" si="1"/>
        <v>12</v>
      </c>
      <c r="I13" s="15">
        <f t="shared" si="2"/>
        <v>14.4</v>
      </c>
      <c r="J13" s="16">
        <f t="shared" si="3"/>
        <v>33.6</v>
      </c>
      <c r="K13" s="41"/>
      <c r="L13" s="41"/>
      <c r="M13" s="41"/>
      <c r="N13" s="36">
        <f t="shared" si="4"/>
        <v>33.6</v>
      </c>
      <c r="O13" s="9"/>
      <c r="P13" s="9"/>
    </row>
    <row r="14" ht="18" customHeight="1" spans="1:16">
      <c r="A14" s="9">
        <v>12</v>
      </c>
      <c r="C14" s="21" t="s">
        <v>25</v>
      </c>
      <c r="D14" s="14"/>
      <c r="E14" s="15">
        <v>6</v>
      </c>
      <c r="F14" s="15">
        <v>6</v>
      </c>
      <c r="G14" s="16">
        <f t="shared" si="0"/>
        <v>1.2</v>
      </c>
      <c r="H14" s="15">
        <f t="shared" si="1"/>
        <v>12</v>
      </c>
      <c r="I14" s="15">
        <f t="shared" si="2"/>
        <v>14.4</v>
      </c>
      <c r="J14" s="16">
        <f t="shared" si="3"/>
        <v>33.6</v>
      </c>
      <c r="K14" s="16"/>
      <c r="L14" s="16"/>
      <c r="M14" s="16"/>
      <c r="N14" s="36">
        <f t="shared" si="4"/>
        <v>33.6</v>
      </c>
      <c r="O14" s="9"/>
      <c r="P14" s="9"/>
    </row>
    <row r="15" ht="18" customHeight="1" spans="1:16">
      <c r="A15" s="9">
        <v>13</v>
      </c>
      <c r="C15" s="21" t="s">
        <v>26</v>
      </c>
      <c r="D15" s="14"/>
      <c r="E15" s="15">
        <v>6</v>
      </c>
      <c r="F15" s="15">
        <v>6</v>
      </c>
      <c r="G15" s="16">
        <f t="shared" si="0"/>
        <v>1.2</v>
      </c>
      <c r="H15" s="15">
        <f t="shared" si="1"/>
        <v>12</v>
      </c>
      <c r="I15" s="15">
        <f t="shared" si="2"/>
        <v>14.4</v>
      </c>
      <c r="J15" s="16">
        <f t="shared" si="3"/>
        <v>33.6</v>
      </c>
      <c r="K15" s="42"/>
      <c r="L15" s="42"/>
      <c r="M15" s="42"/>
      <c r="N15" s="36">
        <f t="shared" si="4"/>
        <v>33.6</v>
      </c>
      <c r="O15" s="9"/>
      <c r="P15" s="9"/>
    </row>
    <row r="16" ht="18" customHeight="1" spans="1:16">
      <c r="A16" s="9">
        <v>14</v>
      </c>
      <c r="B16" s="12" t="s">
        <v>27</v>
      </c>
      <c r="C16" s="22" t="s">
        <v>28</v>
      </c>
      <c r="D16" s="14"/>
      <c r="E16" s="23">
        <v>5</v>
      </c>
      <c r="F16" s="23">
        <v>5</v>
      </c>
      <c r="G16" s="16">
        <f t="shared" si="0"/>
        <v>1</v>
      </c>
      <c r="H16" s="15">
        <f t="shared" si="1"/>
        <v>10</v>
      </c>
      <c r="I16" s="15">
        <f t="shared" si="2"/>
        <v>12</v>
      </c>
      <c r="J16" s="16">
        <f t="shared" si="3"/>
        <v>28</v>
      </c>
      <c r="K16" s="16"/>
      <c r="L16" s="16"/>
      <c r="M16" s="16"/>
      <c r="N16" s="36">
        <f t="shared" si="4"/>
        <v>28</v>
      </c>
      <c r="O16" s="9"/>
      <c r="P16" s="9"/>
    </row>
    <row r="17" ht="18" customHeight="1" spans="1:16">
      <c r="A17" s="9">
        <v>15</v>
      </c>
      <c r="B17" s="12"/>
      <c r="C17" s="22" t="s">
        <v>29</v>
      </c>
      <c r="D17" s="18"/>
      <c r="E17" s="23">
        <v>5</v>
      </c>
      <c r="F17" s="23">
        <v>0</v>
      </c>
      <c r="G17" s="16">
        <f t="shared" si="0"/>
        <v>0</v>
      </c>
      <c r="H17" s="15">
        <f t="shared" si="1"/>
        <v>5</v>
      </c>
      <c r="I17" s="15">
        <f t="shared" si="2"/>
        <v>6</v>
      </c>
      <c r="J17" s="16">
        <f t="shared" si="3"/>
        <v>16</v>
      </c>
      <c r="K17" s="16"/>
      <c r="L17" s="16"/>
      <c r="M17" s="16"/>
      <c r="N17" s="36">
        <f t="shared" si="4"/>
        <v>16</v>
      </c>
      <c r="O17" s="9"/>
      <c r="P17" s="9"/>
    </row>
    <row r="18" ht="18" customHeight="1" spans="1:16">
      <c r="A18" s="9">
        <v>16</v>
      </c>
      <c r="B18" s="12"/>
      <c r="C18" s="24" t="s">
        <v>30</v>
      </c>
      <c r="D18" s="18"/>
      <c r="E18" s="23">
        <v>5</v>
      </c>
      <c r="F18" s="23">
        <v>5</v>
      </c>
      <c r="G18" s="16">
        <f t="shared" si="0"/>
        <v>1</v>
      </c>
      <c r="H18" s="15">
        <f t="shared" si="1"/>
        <v>10</v>
      </c>
      <c r="I18" s="15">
        <f t="shared" si="2"/>
        <v>12</v>
      </c>
      <c r="J18" s="16">
        <f t="shared" si="3"/>
        <v>28</v>
      </c>
      <c r="K18" s="43"/>
      <c r="L18" s="43"/>
      <c r="M18" s="44"/>
      <c r="N18" s="36">
        <f t="shared" si="4"/>
        <v>28</v>
      </c>
      <c r="O18" s="9"/>
      <c r="P18" s="9"/>
    </row>
    <row r="19" ht="18" customHeight="1" spans="1:16">
      <c r="A19" s="9">
        <v>17</v>
      </c>
      <c r="B19" s="12"/>
      <c r="C19" s="22" t="s">
        <v>31</v>
      </c>
      <c r="D19" s="18"/>
      <c r="E19" s="23">
        <v>5</v>
      </c>
      <c r="F19" s="23">
        <v>5</v>
      </c>
      <c r="G19" s="16">
        <f t="shared" si="0"/>
        <v>1</v>
      </c>
      <c r="H19" s="15">
        <f t="shared" si="1"/>
        <v>10</v>
      </c>
      <c r="I19" s="15">
        <f t="shared" si="2"/>
        <v>12</v>
      </c>
      <c r="J19" s="16">
        <f t="shared" si="3"/>
        <v>28</v>
      </c>
      <c r="K19" s="43"/>
      <c r="L19" s="43"/>
      <c r="M19" s="44"/>
      <c r="N19" s="36">
        <f t="shared" si="4"/>
        <v>28</v>
      </c>
      <c r="O19" s="9"/>
      <c r="P19" s="9"/>
    </row>
    <row r="20" ht="18" customHeight="1" spans="1:16">
      <c r="A20" s="9">
        <v>18</v>
      </c>
      <c r="B20" s="12"/>
      <c r="C20" s="22" t="s">
        <v>32</v>
      </c>
      <c r="D20" s="18"/>
      <c r="E20" s="23">
        <v>5</v>
      </c>
      <c r="F20" s="23">
        <v>5</v>
      </c>
      <c r="G20" s="16">
        <f t="shared" si="0"/>
        <v>1</v>
      </c>
      <c r="H20" s="15">
        <f t="shared" si="1"/>
        <v>10</v>
      </c>
      <c r="I20" s="15">
        <f t="shared" si="2"/>
        <v>12</v>
      </c>
      <c r="J20" s="16">
        <f t="shared" si="3"/>
        <v>28</v>
      </c>
      <c r="K20" s="45"/>
      <c r="L20" s="45"/>
      <c r="M20" s="41"/>
      <c r="N20" s="36">
        <f t="shared" si="4"/>
        <v>28</v>
      </c>
      <c r="O20" s="9"/>
      <c r="P20" s="9"/>
    </row>
    <row r="21" ht="18" customHeight="1" spans="1:16">
      <c r="A21" s="9">
        <v>19</v>
      </c>
      <c r="B21" s="12"/>
      <c r="C21" s="24" t="s">
        <v>33</v>
      </c>
      <c r="D21" s="18"/>
      <c r="E21" s="23">
        <v>5</v>
      </c>
      <c r="F21" s="23">
        <v>5</v>
      </c>
      <c r="G21" s="16">
        <f t="shared" si="0"/>
        <v>1</v>
      </c>
      <c r="H21" s="15">
        <f t="shared" si="1"/>
        <v>10</v>
      </c>
      <c r="I21" s="15">
        <f t="shared" si="2"/>
        <v>12</v>
      </c>
      <c r="J21" s="16">
        <f t="shared" si="3"/>
        <v>28</v>
      </c>
      <c r="K21" s="41"/>
      <c r="L21" s="41"/>
      <c r="M21" s="41"/>
      <c r="N21" s="36">
        <f t="shared" si="4"/>
        <v>28</v>
      </c>
      <c r="O21" s="9"/>
      <c r="P21" s="9"/>
    </row>
    <row r="22" ht="18" customHeight="1" spans="1:16">
      <c r="A22" s="9">
        <v>20</v>
      </c>
      <c r="B22" s="12"/>
      <c r="C22" s="25" t="s">
        <v>34</v>
      </c>
      <c r="D22" s="20"/>
      <c r="E22" s="23">
        <v>6</v>
      </c>
      <c r="F22" s="15">
        <v>0</v>
      </c>
      <c r="G22" s="16">
        <f t="shared" si="0"/>
        <v>0</v>
      </c>
      <c r="H22" s="15">
        <f t="shared" si="1"/>
        <v>6</v>
      </c>
      <c r="I22" s="15">
        <f t="shared" si="2"/>
        <v>7.2</v>
      </c>
      <c r="J22" s="16">
        <f t="shared" si="3"/>
        <v>19.2</v>
      </c>
      <c r="K22" s="41"/>
      <c r="L22" s="41"/>
      <c r="M22" s="45"/>
      <c r="N22" s="36">
        <f t="shared" si="4"/>
        <v>19.2</v>
      </c>
      <c r="O22" s="9"/>
      <c r="P22" s="9"/>
    </row>
    <row r="23" ht="18" customHeight="1" spans="1:16">
      <c r="A23" s="9">
        <v>21</v>
      </c>
      <c r="B23" s="12"/>
      <c r="C23" s="25" t="s">
        <v>35</v>
      </c>
      <c r="D23" s="20"/>
      <c r="E23" s="23">
        <v>6</v>
      </c>
      <c r="F23" s="15">
        <v>0</v>
      </c>
      <c r="G23" s="16">
        <f t="shared" si="0"/>
        <v>0</v>
      </c>
      <c r="H23" s="15">
        <f t="shared" si="1"/>
        <v>6</v>
      </c>
      <c r="I23" s="15">
        <f t="shared" si="2"/>
        <v>7.2</v>
      </c>
      <c r="J23" s="16">
        <f t="shared" si="3"/>
        <v>19.2</v>
      </c>
      <c r="K23" s="41"/>
      <c r="L23" s="41"/>
      <c r="M23" s="41"/>
      <c r="N23" s="36">
        <f t="shared" si="4"/>
        <v>19.2</v>
      </c>
      <c r="O23" s="9"/>
      <c r="P23" s="9"/>
    </row>
    <row r="24" ht="18" customHeight="1" spans="1:16">
      <c r="A24" s="9">
        <v>22</v>
      </c>
      <c r="B24" s="12"/>
      <c r="C24" s="25" t="s">
        <v>36</v>
      </c>
      <c r="D24" s="20"/>
      <c r="E24" s="23">
        <v>6</v>
      </c>
      <c r="F24" s="15">
        <v>6</v>
      </c>
      <c r="G24" s="16">
        <f t="shared" si="0"/>
        <v>1.2</v>
      </c>
      <c r="H24" s="15">
        <f t="shared" si="1"/>
        <v>12</v>
      </c>
      <c r="I24" s="15">
        <f t="shared" si="2"/>
        <v>14.4</v>
      </c>
      <c r="J24" s="16">
        <f t="shared" si="3"/>
        <v>33.6</v>
      </c>
      <c r="K24" s="41"/>
      <c r="L24" s="41"/>
      <c r="M24" s="41"/>
      <c r="N24" s="36">
        <f t="shared" si="4"/>
        <v>33.6</v>
      </c>
      <c r="O24" s="9"/>
      <c r="P24" s="9"/>
    </row>
    <row r="25" ht="18" customHeight="1" spans="1:16">
      <c r="A25" s="9">
        <v>23</v>
      </c>
      <c r="C25" s="25" t="s">
        <v>37</v>
      </c>
      <c r="D25" s="20"/>
      <c r="E25" s="23">
        <v>6</v>
      </c>
      <c r="F25" s="15">
        <v>6</v>
      </c>
      <c r="G25" s="16">
        <f t="shared" si="0"/>
        <v>1.2</v>
      </c>
      <c r="H25" s="15">
        <f t="shared" si="1"/>
        <v>12</v>
      </c>
      <c r="I25" s="15">
        <f t="shared" si="2"/>
        <v>14.4</v>
      </c>
      <c r="J25" s="16">
        <f t="shared" si="3"/>
        <v>33.6</v>
      </c>
      <c r="K25" s="16"/>
      <c r="L25" s="16"/>
      <c r="M25" s="16"/>
      <c r="N25" s="36">
        <f t="shared" si="4"/>
        <v>33.6</v>
      </c>
      <c r="O25" s="9"/>
      <c r="P25" s="9"/>
    </row>
    <row r="26" ht="18" customHeight="1" spans="1:16">
      <c r="A26" s="9">
        <v>24</v>
      </c>
      <c r="C26" s="26" t="s">
        <v>38</v>
      </c>
      <c r="D26" s="27"/>
      <c r="E26" s="23">
        <v>6</v>
      </c>
      <c r="F26" s="15">
        <v>6</v>
      </c>
      <c r="G26" s="16">
        <f t="shared" si="0"/>
        <v>1.2</v>
      </c>
      <c r="H26" s="15">
        <f t="shared" si="1"/>
        <v>12</v>
      </c>
      <c r="I26" s="15">
        <f t="shared" si="2"/>
        <v>14.4</v>
      </c>
      <c r="J26" s="16">
        <f t="shared" si="3"/>
        <v>33.6</v>
      </c>
      <c r="K26" s="46"/>
      <c r="L26" s="46"/>
      <c r="M26" s="45"/>
      <c r="N26" s="36">
        <f t="shared" si="4"/>
        <v>33.6</v>
      </c>
      <c r="O26" s="9"/>
      <c r="P26" s="9"/>
    </row>
    <row r="27" ht="18" customHeight="1" spans="1:16">
      <c r="A27" s="9">
        <v>25</v>
      </c>
      <c r="B27" s="12"/>
      <c r="C27" s="19" t="s">
        <v>39</v>
      </c>
      <c r="D27" s="27"/>
      <c r="E27" s="23">
        <v>7</v>
      </c>
      <c r="F27" s="15">
        <v>7</v>
      </c>
      <c r="G27" s="16">
        <f t="shared" si="0"/>
        <v>1.4</v>
      </c>
      <c r="H27" s="15">
        <f t="shared" si="1"/>
        <v>14</v>
      </c>
      <c r="I27" s="15">
        <f t="shared" si="2"/>
        <v>16.8</v>
      </c>
      <c r="J27" s="16">
        <f t="shared" si="3"/>
        <v>39.2</v>
      </c>
      <c r="K27" s="41"/>
      <c r="L27" s="41"/>
      <c r="M27" s="41"/>
      <c r="N27" s="36">
        <f t="shared" si="4"/>
        <v>39.2</v>
      </c>
      <c r="O27" s="9"/>
      <c r="P27" s="9"/>
    </row>
    <row r="28" ht="18" customHeight="1" spans="1:16">
      <c r="A28" s="9">
        <v>26</v>
      </c>
      <c r="C28" s="19" t="s">
        <v>40</v>
      </c>
      <c r="D28" s="27"/>
      <c r="E28" s="23">
        <v>7</v>
      </c>
      <c r="F28" s="15">
        <v>7</v>
      </c>
      <c r="G28" s="28">
        <f t="shared" si="0"/>
        <v>1.4</v>
      </c>
      <c r="H28" s="23">
        <f t="shared" si="1"/>
        <v>14</v>
      </c>
      <c r="I28" s="15">
        <f t="shared" si="2"/>
        <v>16.8</v>
      </c>
      <c r="J28" s="16">
        <f t="shared" si="3"/>
        <v>39.2</v>
      </c>
      <c r="K28" s="45"/>
      <c r="L28" s="45"/>
      <c r="M28" s="41"/>
      <c r="N28" s="36">
        <f t="shared" si="4"/>
        <v>39.2</v>
      </c>
      <c r="O28" s="9"/>
      <c r="P28" s="9"/>
    </row>
    <row r="29" ht="18" customHeight="1" spans="1:16">
      <c r="A29" s="9">
        <v>27</v>
      </c>
      <c r="B29" s="12"/>
      <c r="C29" s="19" t="s">
        <v>41</v>
      </c>
      <c r="D29" s="27"/>
      <c r="E29" s="23">
        <v>7</v>
      </c>
      <c r="F29" s="15">
        <v>7</v>
      </c>
      <c r="G29" s="28">
        <f t="shared" si="0"/>
        <v>1.4</v>
      </c>
      <c r="H29" s="23">
        <f t="shared" si="1"/>
        <v>14</v>
      </c>
      <c r="I29" s="15">
        <f t="shared" si="2"/>
        <v>16.8</v>
      </c>
      <c r="J29" s="16">
        <f t="shared" si="3"/>
        <v>39.2</v>
      </c>
      <c r="K29" s="45"/>
      <c r="L29" s="45"/>
      <c r="M29" s="41"/>
      <c r="N29" s="36">
        <f t="shared" si="4"/>
        <v>39.2</v>
      </c>
      <c r="O29" s="9"/>
      <c r="P29" s="9"/>
    </row>
    <row r="30" ht="18" customHeight="1" spans="1:16">
      <c r="A30" s="9">
        <v>28</v>
      </c>
      <c r="B30" s="12" t="s">
        <v>42</v>
      </c>
      <c r="C30" s="22" t="s">
        <v>43</v>
      </c>
      <c r="D30" s="27"/>
      <c r="E30" s="23">
        <v>5</v>
      </c>
      <c r="F30" s="23">
        <v>5</v>
      </c>
      <c r="G30" s="28">
        <f t="shared" si="0"/>
        <v>1</v>
      </c>
      <c r="H30" s="23">
        <f t="shared" si="1"/>
        <v>10</v>
      </c>
      <c r="I30" s="15">
        <f t="shared" si="2"/>
        <v>12</v>
      </c>
      <c r="J30" s="16">
        <f t="shared" si="3"/>
        <v>28</v>
      </c>
      <c r="K30" s="45"/>
      <c r="L30" s="45"/>
      <c r="M30" s="41"/>
      <c r="N30" s="36">
        <f t="shared" si="4"/>
        <v>28</v>
      </c>
      <c r="O30" s="9"/>
      <c r="P30" s="9"/>
    </row>
    <row r="31" ht="18" customHeight="1" spans="1:16">
      <c r="A31" s="9">
        <v>29</v>
      </c>
      <c r="B31" s="12"/>
      <c r="C31" s="22" t="s">
        <v>44</v>
      </c>
      <c r="D31" s="27"/>
      <c r="E31" s="23">
        <v>5</v>
      </c>
      <c r="F31" s="23">
        <v>0</v>
      </c>
      <c r="G31" s="28">
        <f t="shared" si="0"/>
        <v>0</v>
      </c>
      <c r="H31" s="23">
        <f t="shared" si="1"/>
        <v>5</v>
      </c>
      <c r="I31" s="15">
        <f t="shared" si="2"/>
        <v>6</v>
      </c>
      <c r="J31" s="16">
        <f t="shared" si="3"/>
        <v>16</v>
      </c>
      <c r="K31" s="16"/>
      <c r="L31" s="16"/>
      <c r="M31" s="16"/>
      <c r="N31" s="36">
        <f t="shared" si="4"/>
        <v>16</v>
      </c>
      <c r="O31" s="9"/>
      <c r="P31" s="9"/>
    </row>
    <row r="32" ht="18" customHeight="1" spans="1:16">
      <c r="A32" s="9">
        <v>30</v>
      </c>
      <c r="B32" s="12"/>
      <c r="C32" s="22" t="s">
        <v>45</v>
      </c>
      <c r="D32" s="27"/>
      <c r="E32" s="23">
        <v>5</v>
      </c>
      <c r="F32" s="23">
        <v>5</v>
      </c>
      <c r="G32" s="28">
        <f t="shared" si="0"/>
        <v>1</v>
      </c>
      <c r="H32" s="23">
        <f t="shared" si="1"/>
        <v>10</v>
      </c>
      <c r="I32" s="15">
        <f t="shared" si="2"/>
        <v>12</v>
      </c>
      <c r="J32" s="16">
        <f t="shared" si="3"/>
        <v>28</v>
      </c>
      <c r="K32" s="16"/>
      <c r="L32" s="16"/>
      <c r="M32" s="16"/>
      <c r="N32" s="36">
        <f t="shared" si="4"/>
        <v>28</v>
      </c>
      <c r="O32" s="9"/>
      <c r="P32" s="9"/>
    </row>
    <row r="33" ht="18" customHeight="1" spans="1:16">
      <c r="A33" s="9">
        <v>31</v>
      </c>
      <c r="B33" s="12"/>
      <c r="C33" s="22" t="s">
        <v>46</v>
      </c>
      <c r="D33" s="27"/>
      <c r="E33" s="23">
        <v>5</v>
      </c>
      <c r="F33" s="23">
        <v>5</v>
      </c>
      <c r="G33" s="28">
        <f t="shared" si="0"/>
        <v>1</v>
      </c>
      <c r="H33" s="23">
        <f t="shared" si="1"/>
        <v>10</v>
      </c>
      <c r="I33" s="15">
        <f t="shared" si="2"/>
        <v>12</v>
      </c>
      <c r="J33" s="16">
        <f t="shared" si="3"/>
        <v>28</v>
      </c>
      <c r="K33" s="16"/>
      <c r="L33" s="16"/>
      <c r="M33" s="16"/>
      <c r="N33" s="36">
        <f t="shared" si="4"/>
        <v>28</v>
      </c>
      <c r="O33" s="9"/>
      <c r="P33" s="9"/>
    </row>
    <row r="34" ht="18" customHeight="1" spans="1:16">
      <c r="A34" s="9">
        <v>32</v>
      </c>
      <c r="B34" s="12"/>
      <c r="C34" s="22" t="s">
        <v>47</v>
      </c>
      <c r="D34" s="27"/>
      <c r="E34" s="23">
        <v>5</v>
      </c>
      <c r="F34" s="23">
        <v>5</v>
      </c>
      <c r="G34" s="28">
        <f t="shared" si="0"/>
        <v>1</v>
      </c>
      <c r="H34" s="23">
        <f t="shared" si="1"/>
        <v>10</v>
      </c>
      <c r="I34" s="15">
        <f t="shared" si="2"/>
        <v>12</v>
      </c>
      <c r="J34" s="16">
        <f t="shared" si="3"/>
        <v>28</v>
      </c>
      <c r="K34" s="16"/>
      <c r="L34" s="16"/>
      <c r="M34" s="16"/>
      <c r="N34" s="36">
        <f t="shared" si="4"/>
        <v>28</v>
      </c>
      <c r="O34" s="9"/>
      <c r="P34" s="9"/>
    </row>
    <row r="35" ht="18" customHeight="1" spans="1:16">
      <c r="A35" s="9">
        <v>33</v>
      </c>
      <c r="C35" s="24" t="s">
        <v>48</v>
      </c>
      <c r="D35" s="27"/>
      <c r="E35" s="23">
        <v>5</v>
      </c>
      <c r="F35" s="23">
        <v>5</v>
      </c>
      <c r="G35" s="28">
        <f t="shared" si="0"/>
        <v>1</v>
      </c>
      <c r="H35" s="23">
        <f t="shared" si="1"/>
        <v>10</v>
      </c>
      <c r="I35" s="15">
        <f t="shared" si="2"/>
        <v>12</v>
      </c>
      <c r="J35" s="16">
        <f t="shared" si="3"/>
        <v>28</v>
      </c>
      <c r="K35" s="16"/>
      <c r="L35" s="16"/>
      <c r="M35" s="16"/>
      <c r="N35" s="36">
        <f t="shared" si="4"/>
        <v>28</v>
      </c>
      <c r="O35" s="9"/>
      <c r="P35" s="9"/>
    </row>
    <row r="36" ht="18" customHeight="1" spans="1:16">
      <c r="A36" s="9">
        <v>34</v>
      </c>
      <c r="B36" s="12"/>
      <c r="C36" s="25" t="s">
        <v>49</v>
      </c>
      <c r="D36" s="27"/>
      <c r="E36" s="23">
        <v>6</v>
      </c>
      <c r="F36" s="23">
        <v>6</v>
      </c>
      <c r="G36" s="28">
        <f t="shared" si="0"/>
        <v>1.2</v>
      </c>
      <c r="H36" s="23">
        <f t="shared" si="1"/>
        <v>12</v>
      </c>
      <c r="I36" s="15">
        <f t="shared" si="2"/>
        <v>14.4</v>
      </c>
      <c r="J36" s="16">
        <f t="shared" si="3"/>
        <v>33.6</v>
      </c>
      <c r="K36" s="41"/>
      <c r="L36" s="41"/>
      <c r="M36" s="41"/>
      <c r="N36" s="36">
        <f t="shared" si="4"/>
        <v>33.6</v>
      </c>
      <c r="O36" s="9"/>
      <c r="P36" s="9"/>
    </row>
    <row r="37" ht="18" customHeight="1" spans="1:16">
      <c r="A37" s="9">
        <v>35</v>
      </c>
      <c r="C37" s="25" t="s">
        <v>50</v>
      </c>
      <c r="D37" s="27"/>
      <c r="E37" s="23">
        <v>6</v>
      </c>
      <c r="F37" s="23">
        <v>6</v>
      </c>
      <c r="G37" s="28">
        <f t="shared" si="0"/>
        <v>1.2</v>
      </c>
      <c r="H37" s="23">
        <f t="shared" si="1"/>
        <v>12</v>
      </c>
      <c r="I37" s="15">
        <f t="shared" si="2"/>
        <v>14.4</v>
      </c>
      <c r="J37" s="16">
        <f t="shared" si="3"/>
        <v>33.6</v>
      </c>
      <c r="K37" s="45"/>
      <c r="L37" s="45"/>
      <c r="M37" s="41"/>
      <c r="N37" s="36">
        <f t="shared" si="4"/>
        <v>33.6</v>
      </c>
      <c r="O37" s="9"/>
      <c r="P37" s="9"/>
    </row>
    <row r="38" ht="18" customHeight="1" spans="1:21">
      <c r="A38" s="9">
        <v>36</v>
      </c>
      <c r="B38" s="12"/>
      <c r="C38" s="25" t="s">
        <v>51</v>
      </c>
      <c r="D38" s="27"/>
      <c r="E38" s="23">
        <v>6</v>
      </c>
      <c r="F38" s="23">
        <v>6</v>
      </c>
      <c r="G38" s="28">
        <f t="shared" si="0"/>
        <v>1.2</v>
      </c>
      <c r="H38" s="23">
        <f t="shared" si="1"/>
        <v>12</v>
      </c>
      <c r="I38" s="15">
        <f t="shared" si="2"/>
        <v>14.4</v>
      </c>
      <c r="J38" s="16">
        <f t="shared" si="3"/>
        <v>33.6</v>
      </c>
      <c r="K38" s="45"/>
      <c r="L38" s="45"/>
      <c r="M38" s="41"/>
      <c r="N38" s="36">
        <f t="shared" si="4"/>
        <v>33.6</v>
      </c>
      <c r="O38" s="9"/>
      <c r="P38" s="9"/>
      <c r="U38" s="1"/>
    </row>
    <row r="39" ht="18" customHeight="1" spans="1:21">
      <c r="A39" s="9">
        <v>37</v>
      </c>
      <c r="B39" s="12"/>
      <c r="C39" s="25" t="s">
        <v>52</v>
      </c>
      <c r="D39" s="27"/>
      <c r="E39" s="23">
        <v>6</v>
      </c>
      <c r="F39" s="23">
        <v>6</v>
      </c>
      <c r="G39" s="28">
        <f t="shared" si="0"/>
        <v>1.2</v>
      </c>
      <c r="H39" s="23">
        <f t="shared" si="1"/>
        <v>12</v>
      </c>
      <c r="I39" s="15">
        <f t="shared" si="2"/>
        <v>14.4</v>
      </c>
      <c r="J39" s="16">
        <f t="shared" si="3"/>
        <v>33.6</v>
      </c>
      <c r="K39" s="16"/>
      <c r="L39" s="16"/>
      <c r="M39" s="16"/>
      <c r="N39" s="36">
        <f t="shared" si="4"/>
        <v>33.6</v>
      </c>
      <c r="O39" s="9"/>
      <c r="P39" s="9"/>
      <c r="U39" s="1"/>
    </row>
    <row r="40" s="1" customFormat="1" ht="18" customHeight="1" spans="1:21">
      <c r="A40" s="9">
        <v>38</v>
      </c>
      <c r="C40" s="19" t="s">
        <v>53</v>
      </c>
      <c r="D40" s="29"/>
      <c r="E40" s="23">
        <v>6</v>
      </c>
      <c r="F40" s="23">
        <v>6</v>
      </c>
      <c r="G40" s="28">
        <f t="shared" si="0"/>
        <v>1.2</v>
      </c>
      <c r="H40" s="23">
        <f t="shared" si="1"/>
        <v>12</v>
      </c>
      <c r="I40" s="15">
        <f t="shared" si="2"/>
        <v>14.4</v>
      </c>
      <c r="J40" s="16">
        <f t="shared" si="3"/>
        <v>33.6</v>
      </c>
      <c r="K40" s="45"/>
      <c r="L40" s="45"/>
      <c r="M40" s="45"/>
      <c r="N40" s="36">
        <f t="shared" si="4"/>
        <v>33.6</v>
      </c>
      <c r="O40" s="47"/>
      <c r="P40" s="47"/>
      <c r="U40" s="2"/>
    </row>
    <row r="41" s="1" customFormat="1" ht="18" customHeight="1" spans="1:21">
      <c r="A41" s="9">
        <v>39</v>
      </c>
      <c r="B41" s="30"/>
      <c r="C41" s="19" t="s">
        <v>54</v>
      </c>
      <c r="D41" s="29"/>
      <c r="E41" s="23">
        <v>6</v>
      </c>
      <c r="F41" s="23">
        <v>6</v>
      </c>
      <c r="G41" s="28">
        <f t="shared" si="0"/>
        <v>1.2</v>
      </c>
      <c r="H41" s="23">
        <f t="shared" si="1"/>
        <v>12</v>
      </c>
      <c r="I41" s="15">
        <f t="shared" si="2"/>
        <v>14.4</v>
      </c>
      <c r="J41" s="16">
        <f t="shared" si="3"/>
        <v>33.6</v>
      </c>
      <c r="K41" s="45"/>
      <c r="L41" s="45"/>
      <c r="M41" s="45"/>
      <c r="N41" s="36">
        <f t="shared" si="4"/>
        <v>33.6</v>
      </c>
      <c r="O41" s="47"/>
      <c r="P41" s="47"/>
      <c r="U41" s="2"/>
    </row>
    <row r="42" ht="18" customHeight="1" spans="1:16">
      <c r="A42" s="9">
        <v>40</v>
      </c>
      <c r="B42" s="12"/>
      <c r="C42" s="19" t="s">
        <v>55</v>
      </c>
      <c r="D42" s="27"/>
      <c r="E42" s="23">
        <v>6</v>
      </c>
      <c r="F42" s="23">
        <v>6</v>
      </c>
      <c r="G42" s="28">
        <f t="shared" si="0"/>
        <v>1.2</v>
      </c>
      <c r="H42" s="23">
        <f t="shared" si="1"/>
        <v>12</v>
      </c>
      <c r="I42" s="15">
        <f t="shared" si="2"/>
        <v>14.4</v>
      </c>
      <c r="J42" s="16">
        <f t="shared" si="3"/>
        <v>33.6</v>
      </c>
      <c r="K42" s="41"/>
      <c r="L42" s="41"/>
      <c r="M42" s="41"/>
      <c r="N42" s="36">
        <f t="shared" si="4"/>
        <v>33.6</v>
      </c>
      <c r="O42" s="9"/>
      <c r="P42" s="9"/>
    </row>
    <row r="43" ht="18" customHeight="1" spans="1:16">
      <c r="A43" s="9">
        <v>41</v>
      </c>
      <c r="B43" s="12" t="s">
        <v>56</v>
      </c>
      <c r="C43" s="22" t="s">
        <v>57</v>
      </c>
      <c r="D43" s="27"/>
      <c r="E43" s="23">
        <v>3</v>
      </c>
      <c r="F43" s="23">
        <v>3</v>
      </c>
      <c r="G43" s="28">
        <f t="shared" si="0"/>
        <v>0.6</v>
      </c>
      <c r="H43" s="23">
        <f t="shared" si="1"/>
        <v>6</v>
      </c>
      <c r="I43" s="15">
        <f t="shared" ref="I43:I84" si="5">H43*1</f>
        <v>6</v>
      </c>
      <c r="J43" s="16">
        <f t="shared" si="3"/>
        <v>15.6</v>
      </c>
      <c r="K43" s="16"/>
      <c r="L43" s="16"/>
      <c r="M43" s="16"/>
      <c r="N43" s="36">
        <f t="shared" si="4"/>
        <v>15.6</v>
      </c>
      <c r="O43" s="9"/>
      <c r="P43" s="9"/>
    </row>
    <row r="44" ht="18" customHeight="1" spans="1:16">
      <c r="A44" s="9">
        <v>42</v>
      </c>
      <c r="C44" s="22" t="s">
        <v>58</v>
      </c>
      <c r="D44" s="27"/>
      <c r="E44" s="23">
        <v>3</v>
      </c>
      <c r="F44" s="23">
        <v>0</v>
      </c>
      <c r="G44" s="28">
        <f t="shared" si="0"/>
        <v>0</v>
      </c>
      <c r="H44" s="23">
        <f t="shared" si="1"/>
        <v>3</v>
      </c>
      <c r="I44" s="15">
        <f t="shared" si="5"/>
        <v>3</v>
      </c>
      <c r="J44" s="16">
        <f t="shared" si="3"/>
        <v>9</v>
      </c>
      <c r="K44" s="16"/>
      <c r="L44" s="16"/>
      <c r="M44" s="16"/>
      <c r="N44" s="36">
        <f t="shared" si="4"/>
        <v>9</v>
      </c>
      <c r="O44" s="9"/>
      <c r="P44" s="9"/>
    </row>
    <row r="45" ht="18" customHeight="1" spans="1:16">
      <c r="A45" s="9">
        <v>43</v>
      </c>
      <c r="B45" s="12"/>
      <c r="C45" s="22" t="s">
        <v>59</v>
      </c>
      <c r="D45" s="27"/>
      <c r="E45" s="15">
        <v>3</v>
      </c>
      <c r="F45" s="15">
        <v>9</v>
      </c>
      <c r="G45" s="28">
        <f t="shared" si="0"/>
        <v>1.8</v>
      </c>
      <c r="H45" s="23">
        <f t="shared" si="1"/>
        <v>12</v>
      </c>
      <c r="I45" s="15">
        <f t="shared" si="5"/>
        <v>12</v>
      </c>
      <c r="J45" s="16">
        <f t="shared" si="3"/>
        <v>28.8</v>
      </c>
      <c r="K45" s="41"/>
      <c r="L45" s="41"/>
      <c r="M45" s="41"/>
      <c r="N45" s="36">
        <f t="shared" si="4"/>
        <v>28.8</v>
      </c>
      <c r="O45" s="9"/>
      <c r="P45" s="9"/>
    </row>
    <row r="46" ht="18" customHeight="1" spans="1:16">
      <c r="A46" s="9">
        <v>44</v>
      </c>
      <c r="B46" s="31"/>
      <c r="C46" s="22" t="s">
        <v>60</v>
      </c>
      <c r="D46" s="27"/>
      <c r="E46" s="23">
        <v>3</v>
      </c>
      <c r="F46" s="23">
        <v>9</v>
      </c>
      <c r="G46" s="28">
        <f t="shared" si="0"/>
        <v>1.8</v>
      </c>
      <c r="H46" s="23">
        <f t="shared" si="1"/>
        <v>12</v>
      </c>
      <c r="I46" s="15">
        <f t="shared" si="5"/>
        <v>12</v>
      </c>
      <c r="J46" s="16">
        <f t="shared" si="3"/>
        <v>28.8</v>
      </c>
      <c r="K46" s="41"/>
      <c r="L46" s="41"/>
      <c r="M46" s="41"/>
      <c r="N46" s="36">
        <f t="shared" si="4"/>
        <v>28.8</v>
      </c>
      <c r="O46" s="9"/>
      <c r="P46" s="9"/>
    </row>
    <row r="47" ht="18" customHeight="1" spans="1:16">
      <c r="A47" s="9">
        <v>45</v>
      </c>
      <c r="C47" s="25" t="s">
        <v>61</v>
      </c>
      <c r="D47" s="27"/>
      <c r="E47" s="23">
        <v>5</v>
      </c>
      <c r="F47" s="23">
        <v>5</v>
      </c>
      <c r="G47" s="28">
        <f t="shared" si="0"/>
        <v>1</v>
      </c>
      <c r="H47" s="23">
        <f t="shared" si="1"/>
        <v>10</v>
      </c>
      <c r="I47" s="15">
        <f t="shared" si="5"/>
        <v>10</v>
      </c>
      <c r="J47" s="16">
        <f t="shared" si="3"/>
        <v>26</v>
      </c>
      <c r="K47" s="41"/>
      <c r="L47" s="45"/>
      <c r="M47" s="41"/>
      <c r="N47" s="36">
        <f t="shared" si="4"/>
        <v>26</v>
      </c>
      <c r="O47" s="9"/>
      <c r="P47" s="9"/>
    </row>
    <row r="48" ht="18" customHeight="1" spans="1:16">
      <c r="A48" s="9">
        <v>46</v>
      </c>
      <c r="C48" s="25" t="s">
        <v>62</v>
      </c>
      <c r="D48" s="27"/>
      <c r="E48" s="23">
        <v>5</v>
      </c>
      <c r="F48" s="23">
        <v>5</v>
      </c>
      <c r="G48" s="28">
        <f t="shared" si="0"/>
        <v>1</v>
      </c>
      <c r="H48" s="23">
        <f t="shared" si="1"/>
        <v>10</v>
      </c>
      <c r="I48" s="15">
        <f t="shared" si="5"/>
        <v>10</v>
      </c>
      <c r="J48" s="16">
        <f t="shared" si="3"/>
        <v>26</v>
      </c>
      <c r="K48" s="45"/>
      <c r="L48" s="45"/>
      <c r="M48" s="41"/>
      <c r="N48" s="36">
        <f t="shared" si="4"/>
        <v>26</v>
      </c>
      <c r="O48" s="9"/>
      <c r="P48" s="9"/>
    </row>
    <row r="49" ht="18" customHeight="1" spans="1:16">
      <c r="A49" s="9">
        <v>47</v>
      </c>
      <c r="B49" s="12"/>
      <c r="C49" s="25" t="s">
        <v>63</v>
      </c>
      <c r="D49" s="27"/>
      <c r="E49" s="23">
        <v>5</v>
      </c>
      <c r="F49" s="23">
        <v>5</v>
      </c>
      <c r="G49" s="28">
        <f t="shared" si="0"/>
        <v>1</v>
      </c>
      <c r="H49" s="23">
        <f t="shared" si="1"/>
        <v>10</v>
      </c>
      <c r="I49" s="15">
        <f t="shared" si="5"/>
        <v>10</v>
      </c>
      <c r="J49" s="16">
        <f t="shared" si="3"/>
        <v>26</v>
      </c>
      <c r="K49" s="45"/>
      <c r="L49" s="45"/>
      <c r="M49" s="41"/>
      <c r="N49" s="36">
        <f t="shared" si="4"/>
        <v>26</v>
      </c>
      <c r="O49" s="9"/>
      <c r="P49" s="9"/>
    </row>
    <row r="50" ht="18" customHeight="1" spans="1:16">
      <c r="A50" s="9">
        <v>48</v>
      </c>
      <c r="C50" s="19" t="s">
        <v>64</v>
      </c>
      <c r="D50" s="27"/>
      <c r="E50" s="32">
        <v>5</v>
      </c>
      <c r="F50" s="32">
        <v>5</v>
      </c>
      <c r="G50" s="28">
        <f t="shared" si="0"/>
        <v>1</v>
      </c>
      <c r="H50" s="23">
        <f t="shared" si="1"/>
        <v>10</v>
      </c>
      <c r="I50" s="15">
        <f t="shared" si="5"/>
        <v>10</v>
      </c>
      <c r="J50" s="16">
        <f t="shared" si="3"/>
        <v>26</v>
      </c>
      <c r="K50" s="41"/>
      <c r="L50" s="41"/>
      <c r="M50" s="45"/>
      <c r="N50" s="36">
        <f t="shared" si="4"/>
        <v>26</v>
      </c>
      <c r="O50" s="9"/>
      <c r="P50" s="9"/>
    </row>
    <row r="51" ht="18" customHeight="1" spans="1:16">
      <c r="A51" s="9">
        <v>49</v>
      </c>
      <c r="B51" s="12"/>
      <c r="C51" s="19" t="s">
        <v>65</v>
      </c>
      <c r="D51" s="27"/>
      <c r="E51" s="33">
        <v>5</v>
      </c>
      <c r="F51" s="33">
        <v>0</v>
      </c>
      <c r="G51" s="28">
        <f t="shared" si="0"/>
        <v>0</v>
      </c>
      <c r="H51" s="23">
        <f t="shared" si="1"/>
        <v>5</v>
      </c>
      <c r="I51" s="15">
        <f t="shared" si="5"/>
        <v>5</v>
      </c>
      <c r="J51" s="16">
        <f t="shared" si="3"/>
        <v>15</v>
      </c>
      <c r="K51" s="41"/>
      <c r="L51" s="41"/>
      <c r="M51" s="45"/>
      <c r="N51" s="36">
        <f t="shared" si="4"/>
        <v>15</v>
      </c>
      <c r="O51" s="9"/>
      <c r="P51" s="9"/>
    </row>
    <row r="52" ht="18" customHeight="1" spans="1:21">
      <c r="A52" s="9">
        <v>50</v>
      </c>
      <c r="B52" s="12"/>
      <c r="C52" s="19" t="s">
        <v>66</v>
      </c>
      <c r="D52" s="27"/>
      <c r="E52" s="23">
        <v>5</v>
      </c>
      <c r="F52" s="23">
        <v>0</v>
      </c>
      <c r="G52" s="28">
        <f t="shared" si="0"/>
        <v>0</v>
      </c>
      <c r="H52" s="23">
        <f t="shared" si="1"/>
        <v>5</v>
      </c>
      <c r="I52" s="15">
        <f t="shared" si="5"/>
        <v>5</v>
      </c>
      <c r="J52" s="16">
        <f t="shared" si="3"/>
        <v>15</v>
      </c>
      <c r="K52" s="41"/>
      <c r="L52" s="41"/>
      <c r="M52" s="41"/>
      <c r="N52" s="36">
        <f t="shared" si="4"/>
        <v>15</v>
      </c>
      <c r="O52" s="9"/>
      <c r="P52" s="9"/>
      <c r="U52" s="1"/>
    </row>
    <row r="53" ht="18" customHeight="1" spans="1:21">
      <c r="A53" s="9">
        <v>51</v>
      </c>
      <c r="B53" s="12"/>
      <c r="C53" s="19" t="s">
        <v>67</v>
      </c>
      <c r="D53" s="27"/>
      <c r="E53" s="23">
        <v>0</v>
      </c>
      <c r="F53" s="23">
        <v>0</v>
      </c>
      <c r="G53" s="28">
        <f t="shared" si="0"/>
        <v>0</v>
      </c>
      <c r="H53" s="23">
        <f t="shared" si="1"/>
        <v>0</v>
      </c>
      <c r="I53" s="15">
        <f t="shared" si="5"/>
        <v>0</v>
      </c>
      <c r="J53" s="16">
        <f t="shared" si="3"/>
        <v>0</v>
      </c>
      <c r="K53" s="48">
        <v>18</v>
      </c>
      <c r="L53" s="41"/>
      <c r="M53" s="41"/>
      <c r="N53" s="36">
        <f t="shared" si="4"/>
        <v>18</v>
      </c>
      <c r="O53" s="9"/>
      <c r="P53" s="9"/>
      <c r="U53" s="1"/>
    </row>
    <row r="54" ht="18" customHeight="1" spans="1:16">
      <c r="A54" s="9">
        <v>52</v>
      </c>
      <c r="B54" s="12" t="s">
        <v>68</v>
      </c>
      <c r="C54" s="24" t="s">
        <v>69</v>
      </c>
      <c r="D54" s="27"/>
      <c r="E54" s="23">
        <v>3</v>
      </c>
      <c r="F54" s="23">
        <v>6</v>
      </c>
      <c r="G54" s="28">
        <f t="shared" si="0"/>
        <v>1.2</v>
      </c>
      <c r="H54" s="23">
        <f t="shared" si="1"/>
        <v>9</v>
      </c>
      <c r="I54" s="15">
        <f t="shared" si="5"/>
        <v>9</v>
      </c>
      <c r="J54" s="16">
        <f t="shared" si="3"/>
        <v>22.2</v>
      </c>
      <c r="K54" s="28"/>
      <c r="L54" s="28"/>
      <c r="M54" s="28"/>
      <c r="N54" s="36">
        <f t="shared" si="4"/>
        <v>22.2</v>
      </c>
      <c r="O54" s="9"/>
      <c r="P54" s="9"/>
    </row>
    <row r="55" s="1" customFormat="1" ht="18" customHeight="1" spans="1:21">
      <c r="A55" s="9">
        <v>53</v>
      </c>
      <c r="B55" s="30"/>
      <c r="C55" s="24" t="s">
        <v>70</v>
      </c>
      <c r="D55" s="29"/>
      <c r="E55" s="23">
        <v>3</v>
      </c>
      <c r="F55" s="23">
        <v>9</v>
      </c>
      <c r="G55" s="28">
        <f t="shared" si="0"/>
        <v>1.8</v>
      </c>
      <c r="H55" s="23">
        <f t="shared" si="1"/>
        <v>12</v>
      </c>
      <c r="I55" s="15">
        <f t="shared" si="5"/>
        <v>12</v>
      </c>
      <c r="J55" s="16">
        <f t="shared" si="3"/>
        <v>28.8</v>
      </c>
      <c r="K55" s="28"/>
      <c r="L55" s="28"/>
      <c r="M55" s="28"/>
      <c r="N55" s="36">
        <f t="shared" si="4"/>
        <v>28.8</v>
      </c>
      <c r="O55" s="47"/>
      <c r="P55" s="47"/>
      <c r="U55" s="2"/>
    </row>
    <row r="56" ht="18" customHeight="1" spans="1:21">
      <c r="A56" s="9">
        <v>54</v>
      </c>
      <c r="B56" s="12"/>
      <c r="C56" s="22" t="s">
        <v>71</v>
      </c>
      <c r="D56" s="27"/>
      <c r="E56" s="23">
        <v>3</v>
      </c>
      <c r="F56" s="23">
        <v>9</v>
      </c>
      <c r="G56" s="28">
        <f t="shared" si="0"/>
        <v>1.8</v>
      </c>
      <c r="H56" s="23">
        <f t="shared" si="1"/>
        <v>12</v>
      </c>
      <c r="I56" s="15">
        <f t="shared" si="5"/>
        <v>12</v>
      </c>
      <c r="J56" s="16">
        <f t="shared" si="3"/>
        <v>28.8</v>
      </c>
      <c r="K56" s="28"/>
      <c r="L56" s="28"/>
      <c r="M56" s="28"/>
      <c r="N56" s="36">
        <f t="shared" si="4"/>
        <v>28.8</v>
      </c>
      <c r="O56" s="9"/>
      <c r="P56" s="9"/>
      <c r="U56" s="1"/>
    </row>
    <row r="57" ht="18" customHeight="1" spans="1:16">
      <c r="A57" s="9">
        <v>55</v>
      </c>
      <c r="B57" s="12"/>
      <c r="C57" s="25" t="s">
        <v>72</v>
      </c>
      <c r="D57" s="27"/>
      <c r="E57" s="23">
        <v>4</v>
      </c>
      <c r="F57" s="23">
        <v>4</v>
      </c>
      <c r="G57" s="28">
        <f t="shared" si="0"/>
        <v>0.8</v>
      </c>
      <c r="H57" s="23">
        <f t="shared" si="1"/>
        <v>8</v>
      </c>
      <c r="I57" s="15">
        <f t="shared" si="5"/>
        <v>8</v>
      </c>
      <c r="J57" s="16">
        <f t="shared" si="3"/>
        <v>20.8</v>
      </c>
      <c r="K57" s="16"/>
      <c r="L57" s="16"/>
      <c r="M57" s="16"/>
      <c r="N57" s="36">
        <f t="shared" si="4"/>
        <v>20.8</v>
      </c>
      <c r="O57" s="9"/>
      <c r="P57" s="9"/>
    </row>
    <row r="58" s="1" customFormat="1" ht="18" customHeight="1" spans="1:21">
      <c r="A58" s="9">
        <v>56</v>
      </c>
      <c r="B58" s="30"/>
      <c r="C58" s="25" t="s">
        <v>73</v>
      </c>
      <c r="D58" s="29"/>
      <c r="E58" s="23">
        <v>4</v>
      </c>
      <c r="F58" s="23">
        <v>4</v>
      </c>
      <c r="G58" s="28">
        <f t="shared" si="0"/>
        <v>0.8</v>
      </c>
      <c r="H58" s="23">
        <f t="shared" si="1"/>
        <v>8</v>
      </c>
      <c r="I58" s="15">
        <f t="shared" si="5"/>
        <v>8</v>
      </c>
      <c r="J58" s="16">
        <f t="shared" si="3"/>
        <v>20.8</v>
      </c>
      <c r="K58" s="16"/>
      <c r="L58" s="16"/>
      <c r="M58" s="16"/>
      <c r="N58" s="36">
        <f t="shared" si="4"/>
        <v>20.8</v>
      </c>
      <c r="O58" s="47"/>
      <c r="P58" s="47"/>
      <c r="U58" s="2"/>
    </row>
    <row r="59" ht="18" customHeight="1" spans="1:16">
      <c r="A59" s="9">
        <v>57</v>
      </c>
      <c r="B59" s="12"/>
      <c r="C59" s="25" t="s">
        <v>74</v>
      </c>
      <c r="D59" s="27"/>
      <c r="E59" s="23">
        <v>4</v>
      </c>
      <c r="F59" s="23">
        <v>4</v>
      </c>
      <c r="G59" s="28">
        <f t="shared" si="0"/>
        <v>0.8</v>
      </c>
      <c r="H59" s="23">
        <f t="shared" si="1"/>
        <v>8</v>
      </c>
      <c r="I59" s="15">
        <f t="shared" si="5"/>
        <v>8</v>
      </c>
      <c r="J59" s="16">
        <f t="shared" si="3"/>
        <v>20.8</v>
      </c>
      <c r="K59" s="16"/>
      <c r="L59" s="16"/>
      <c r="M59" s="16"/>
      <c r="N59" s="36">
        <f t="shared" si="4"/>
        <v>20.8</v>
      </c>
      <c r="O59" s="9"/>
      <c r="P59" s="9"/>
    </row>
    <row r="60" ht="18" customHeight="1" spans="1:16">
      <c r="A60" s="9">
        <v>58</v>
      </c>
      <c r="B60" s="12"/>
      <c r="C60" s="19" t="s">
        <v>75</v>
      </c>
      <c r="D60" s="27"/>
      <c r="E60" s="23">
        <v>5</v>
      </c>
      <c r="F60" s="23">
        <v>5</v>
      </c>
      <c r="G60" s="28">
        <f t="shared" si="0"/>
        <v>1</v>
      </c>
      <c r="H60" s="23">
        <f t="shared" si="1"/>
        <v>10</v>
      </c>
      <c r="I60" s="15">
        <f t="shared" si="5"/>
        <v>10</v>
      </c>
      <c r="J60" s="16">
        <f t="shared" si="3"/>
        <v>26</v>
      </c>
      <c r="K60" s="28"/>
      <c r="L60" s="16"/>
      <c r="M60" s="16"/>
      <c r="N60" s="36">
        <f t="shared" si="4"/>
        <v>26</v>
      </c>
      <c r="O60" s="9"/>
      <c r="P60" s="9"/>
    </row>
    <row r="61" ht="18" customHeight="1" spans="1:16">
      <c r="A61" s="9">
        <v>59</v>
      </c>
      <c r="B61" s="12"/>
      <c r="C61" s="34" t="s">
        <v>76</v>
      </c>
      <c r="D61" s="27"/>
      <c r="E61" s="23">
        <v>5</v>
      </c>
      <c r="F61" s="23">
        <v>5</v>
      </c>
      <c r="G61" s="28">
        <f t="shared" si="0"/>
        <v>1</v>
      </c>
      <c r="H61" s="23">
        <f t="shared" si="1"/>
        <v>10</v>
      </c>
      <c r="I61" s="15">
        <f t="shared" si="5"/>
        <v>10</v>
      </c>
      <c r="J61" s="16">
        <f t="shared" si="3"/>
        <v>26</v>
      </c>
      <c r="K61" s="28"/>
      <c r="L61" s="28"/>
      <c r="M61" s="28"/>
      <c r="N61" s="36">
        <f t="shared" si="4"/>
        <v>26</v>
      </c>
      <c r="O61" s="9"/>
      <c r="P61" s="9"/>
    </row>
    <row r="62" ht="18" customHeight="1" spans="1:16">
      <c r="A62" s="9">
        <v>60</v>
      </c>
      <c r="B62" s="12"/>
      <c r="C62" s="22" t="s">
        <v>77</v>
      </c>
      <c r="D62" s="27"/>
      <c r="E62" s="23">
        <v>0</v>
      </c>
      <c r="F62" s="23">
        <v>0</v>
      </c>
      <c r="G62" s="28">
        <f t="shared" si="0"/>
        <v>0</v>
      </c>
      <c r="H62" s="23">
        <f t="shared" si="1"/>
        <v>0</v>
      </c>
      <c r="I62" s="15">
        <f t="shared" si="5"/>
        <v>0</v>
      </c>
      <c r="J62" s="16">
        <f t="shared" si="3"/>
        <v>0</v>
      </c>
      <c r="K62" s="48">
        <v>9</v>
      </c>
      <c r="L62" s="28"/>
      <c r="M62" s="28"/>
      <c r="N62" s="36">
        <f t="shared" si="4"/>
        <v>9</v>
      </c>
      <c r="O62" s="9"/>
      <c r="P62" s="9"/>
    </row>
    <row r="63" ht="18" customHeight="1" spans="1:16">
      <c r="A63" s="9">
        <v>61</v>
      </c>
      <c r="B63" s="12" t="s">
        <v>78</v>
      </c>
      <c r="C63" s="22" t="s">
        <v>79</v>
      </c>
      <c r="D63" s="27"/>
      <c r="E63" s="23">
        <v>2</v>
      </c>
      <c r="F63" s="23">
        <v>8</v>
      </c>
      <c r="G63" s="28">
        <f t="shared" si="0"/>
        <v>1.6</v>
      </c>
      <c r="H63" s="23">
        <f t="shared" si="1"/>
        <v>10</v>
      </c>
      <c r="I63" s="15">
        <f t="shared" si="5"/>
        <v>10</v>
      </c>
      <c r="J63" s="16">
        <f t="shared" si="3"/>
        <v>23.6</v>
      </c>
      <c r="K63" s="28"/>
      <c r="L63" s="28"/>
      <c r="M63" s="28"/>
      <c r="N63" s="36">
        <f t="shared" si="4"/>
        <v>23.6</v>
      </c>
      <c r="O63" s="9"/>
      <c r="P63" s="9"/>
    </row>
    <row r="64" ht="18" customHeight="1" spans="1:16">
      <c r="A64" s="9">
        <v>62</v>
      </c>
      <c r="B64" s="12"/>
      <c r="C64" s="24" t="s">
        <v>80</v>
      </c>
      <c r="D64" s="27"/>
      <c r="E64" s="23">
        <v>2</v>
      </c>
      <c r="F64" s="23">
        <v>10</v>
      </c>
      <c r="G64" s="28">
        <f t="shared" si="0"/>
        <v>2</v>
      </c>
      <c r="H64" s="23">
        <f t="shared" si="1"/>
        <v>12</v>
      </c>
      <c r="I64" s="15">
        <f t="shared" si="5"/>
        <v>12</v>
      </c>
      <c r="J64" s="16">
        <f t="shared" si="3"/>
        <v>28</v>
      </c>
      <c r="K64" s="28"/>
      <c r="L64" s="28"/>
      <c r="M64" s="28"/>
      <c r="N64" s="36">
        <f t="shared" si="4"/>
        <v>28</v>
      </c>
      <c r="O64" s="9"/>
      <c r="P64" s="9"/>
    </row>
    <row r="65" ht="18" customHeight="1" spans="1:16">
      <c r="A65" s="9">
        <v>63</v>
      </c>
      <c r="B65" s="12"/>
      <c r="C65" s="26" t="s">
        <v>81</v>
      </c>
      <c r="D65" s="27"/>
      <c r="E65" s="23">
        <v>4</v>
      </c>
      <c r="F65" s="23">
        <v>4</v>
      </c>
      <c r="G65" s="28">
        <f t="shared" si="0"/>
        <v>0.8</v>
      </c>
      <c r="H65" s="23">
        <f t="shared" si="1"/>
        <v>8</v>
      </c>
      <c r="I65" s="15">
        <f t="shared" si="5"/>
        <v>8</v>
      </c>
      <c r="J65" s="16">
        <f t="shared" si="3"/>
        <v>20.8</v>
      </c>
      <c r="K65" s="28"/>
      <c r="L65" s="28"/>
      <c r="M65" s="28"/>
      <c r="N65" s="36">
        <f t="shared" si="4"/>
        <v>20.8</v>
      </c>
      <c r="O65" s="9"/>
      <c r="P65" s="9"/>
    </row>
    <row r="66" ht="18" customHeight="1" spans="1:16">
      <c r="A66" s="9">
        <v>64</v>
      </c>
      <c r="B66" s="12"/>
      <c r="C66" s="25" t="s">
        <v>82</v>
      </c>
      <c r="D66" s="27"/>
      <c r="E66" s="23">
        <v>4</v>
      </c>
      <c r="F66" s="23">
        <v>0</v>
      </c>
      <c r="G66" s="28">
        <f t="shared" si="0"/>
        <v>0</v>
      </c>
      <c r="H66" s="23">
        <f t="shared" si="1"/>
        <v>4</v>
      </c>
      <c r="I66" s="15">
        <f t="shared" si="5"/>
        <v>4</v>
      </c>
      <c r="J66" s="16">
        <f t="shared" si="3"/>
        <v>12</v>
      </c>
      <c r="K66" s="48">
        <v>9</v>
      </c>
      <c r="L66" s="28"/>
      <c r="M66" s="28"/>
      <c r="N66" s="36">
        <f t="shared" si="4"/>
        <v>21</v>
      </c>
      <c r="O66" s="9"/>
      <c r="P66" s="58"/>
    </row>
    <row r="67" ht="18" customHeight="1" spans="1:16">
      <c r="A67" s="9">
        <v>65</v>
      </c>
      <c r="B67" s="12"/>
      <c r="C67" s="34" t="s">
        <v>83</v>
      </c>
      <c r="D67" s="27"/>
      <c r="E67" s="23">
        <v>4</v>
      </c>
      <c r="F67" s="23">
        <v>4</v>
      </c>
      <c r="G67" s="28">
        <f t="shared" ref="G67:G93" si="6">F67*0.2</f>
        <v>0.8</v>
      </c>
      <c r="H67" s="23">
        <f t="shared" ref="H67:H93" si="7">E67+F67</f>
        <v>8</v>
      </c>
      <c r="I67" s="15">
        <f t="shared" si="5"/>
        <v>8</v>
      </c>
      <c r="J67" s="16">
        <f t="shared" ref="J67:J93" si="8">SUM(E67+G67+H67+I67)</f>
        <v>20.8</v>
      </c>
      <c r="K67" s="28"/>
      <c r="L67" s="28"/>
      <c r="M67" s="28"/>
      <c r="N67" s="36">
        <f t="shared" ref="N67:N75" si="9">SUM(J67:M67)</f>
        <v>20.8</v>
      </c>
      <c r="O67" s="9"/>
      <c r="P67" s="59"/>
    </row>
    <row r="68" ht="18" customHeight="1" spans="1:16">
      <c r="A68" s="9">
        <v>66</v>
      </c>
      <c r="B68" s="12"/>
      <c r="C68" s="19" t="s">
        <v>84</v>
      </c>
      <c r="D68" s="27"/>
      <c r="E68" s="23">
        <v>4</v>
      </c>
      <c r="F68" s="23">
        <v>4</v>
      </c>
      <c r="G68" s="28">
        <f t="shared" si="6"/>
        <v>0.8</v>
      </c>
      <c r="H68" s="23">
        <f t="shared" si="7"/>
        <v>8</v>
      </c>
      <c r="I68" s="15">
        <f t="shared" si="5"/>
        <v>8</v>
      </c>
      <c r="J68" s="16">
        <f t="shared" si="8"/>
        <v>20.8</v>
      </c>
      <c r="K68" s="28"/>
      <c r="L68" s="28"/>
      <c r="M68" s="28"/>
      <c r="N68" s="36">
        <f t="shared" si="9"/>
        <v>20.8</v>
      </c>
      <c r="O68" s="9"/>
      <c r="P68" s="59"/>
    </row>
    <row r="69" ht="18" customHeight="1" spans="1:16">
      <c r="A69" s="9">
        <v>67</v>
      </c>
      <c r="B69" s="12" t="s">
        <v>85</v>
      </c>
      <c r="C69" s="22" t="s">
        <v>86</v>
      </c>
      <c r="D69" s="27"/>
      <c r="E69" s="23">
        <v>2</v>
      </c>
      <c r="F69" s="15">
        <v>10</v>
      </c>
      <c r="G69" s="28">
        <f t="shared" si="6"/>
        <v>2</v>
      </c>
      <c r="H69" s="23">
        <f t="shared" si="7"/>
        <v>12</v>
      </c>
      <c r="I69" s="15">
        <f t="shared" si="5"/>
        <v>12</v>
      </c>
      <c r="J69" s="16">
        <f t="shared" si="8"/>
        <v>28</v>
      </c>
      <c r="K69" s="28"/>
      <c r="L69" s="28"/>
      <c r="M69" s="28"/>
      <c r="N69" s="36">
        <f t="shared" si="9"/>
        <v>28</v>
      </c>
      <c r="O69" s="9"/>
      <c r="P69" s="59"/>
    </row>
    <row r="70" ht="18" customHeight="1" spans="1:16">
      <c r="A70" s="9">
        <v>68</v>
      </c>
      <c r="C70" s="24" t="s">
        <v>87</v>
      </c>
      <c r="D70" s="27"/>
      <c r="E70" s="23">
        <v>2</v>
      </c>
      <c r="F70" s="15">
        <v>8</v>
      </c>
      <c r="G70" s="28">
        <f t="shared" si="6"/>
        <v>1.6</v>
      </c>
      <c r="H70" s="23">
        <f t="shared" si="7"/>
        <v>10</v>
      </c>
      <c r="I70" s="15">
        <f t="shared" si="5"/>
        <v>10</v>
      </c>
      <c r="J70" s="16">
        <f t="shared" si="8"/>
        <v>23.6</v>
      </c>
      <c r="K70" s="28"/>
      <c r="L70" s="28"/>
      <c r="M70" s="28"/>
      <c r="N70" s="36">
        <f t="shared" si="9"/>
        <v>23.6</v>
      </c>
      <c r="O70" s="9"/>
      <c r="P70" s="59"/>
    </row>
    <row r="71" ht="18" customHeight="1" spans="1:16">
      <c r="A71" s="9">
        <v>69</v>
      </c>
      <c r="B71" s="12"/>
      <c r="C71" s="25" t="s">
        <v>88</v>
      </c>
      <c r="D71" s="27"/>
      <c r="E71" s="23">
        <v>4</v>
      </c>
      <c r="F71" s="23">
        <v>4</v>
      </c>
      <c r="G71" s="28">
        <f t="shared" si="6"/>
        <v>0.8</v>
      </c>
      <c r="H71" s="23">
        <f t="shared" si="7"/>
        <v>8</v>
      </c>
      <c r="I71" s="15">
        <f t="shared" si="5"/>
        <v>8</v>
      </c>
      <c r="J71" s="16">
        <f t="shared" si="8"/>
        <v>20.8</v>
      </c>
      <c r="K71" s="28"/>
      <c r="L71" s="28"/>
      <c r="M71" s="28"/>
      <c r="N71" s="36">
        <f t="shared" si="9"/>
        <v>20.8</v>
      </c>
      <c r="O71" s="9"/>
      <c r="P71" s="59"/>
    </row>
    <row r="72" ht="18" customHeight="1" spans="1:16">
      <c r="A72" s="9">
        <v>70</v>
      </c>
      <c r="C72" s="25" t="s">
        <v>89</v>
      </c>
      <c r="D72" s="27"/>
      <c r="E72" s="23">
        <v>4</v>
      </c>
      <c r="F72" s="23">
        <v>0</v>
      </c>
      <c r="G72" s="28">
        <f t="shared" si="6"/>
        <v>0</v>
      </c>
      <c r="H72" s="23">
        <f t="shared" si="7"/>
        <v>4</v>
      </c>
      <c r="I72" s="15">
        <f t="shared" si="5"/>
        <v>4</v>
      </c>
      <c r="J72" s="16">
        <f t="shared" si="8"/>
        <v>12</v>
      </c>
      <c r="K72" s="28"/>
      <c r="L72" s="28"/>
      <c r="M72" s="28"/>
      <c r="N72" s="36">
        <f t="shared" si="9"/>
        <v>12</v>
      </c>
      <c r="O72" s="9"/>
      <c r="P72" s="59"/>
    </row>
    <row r="73" ht="18" customHeight="1" spans="1:16">
      <c r="A73" s="9">
        <v>71</v>
      </c>
      <c r="B73" s="12"/>
      <c r="C73" s="19" t="s">
        <v>90</v>
      </c>
      <c r="D73" s="27"/>
      <c r="E73" s="23">
        <v>4</v>
      </c>
      <c r="F73" s="23">
        <v>4</v>
      </c>
      <c r="G73" s="28">
        <f t="shared" si="6"/>
        <v>0.8</v>
      </c>
      <c r="H73" s="23">
        <f t="shared" si="7"/>
        <v>8</v>
      </c>
      <c r="I73" s="15">
        <f t="shared" si="5"/>
        <v>8</v>
      </c>
      <c r="J73" s="16">
        <f t="shared" si="8"/>
        <v>20.8</v>
      </c>
      <c r="K73" s="28"/>
      <c r="L73" s="28"/>
      <c r="M73" s="28"/>
      <c r="N73" s="36">
        <f t="shared" si="9"/>
        <v>20.8</v>
      </c>
      <c r="O73" s="9"/>
      <c r="P73" s="59"/>
    </row>
    <row r="74" ht="18" customHeight="1" spans="1:16">
      <c r="A74" s="9">
        <v>72</v>
      </c>
      <c r="B74" s="12"/>
      <c r="C74" s="22" t="s">
        <v>91</v>
      </c>
      <c r="D74" s="27"/>
      <c r="E74" s="23">
        <v>2</v>
      </c>
      <c r="F74" s="23">
        <v>10</v>
      </c>
      <c r="G74" s="28">
        <f t="shared" si="6"/>
        <v>2</v>
      </c>
      <c r="H74" s="23">
        <f t="shared" si="7"/>
        <v>12</v>
      </c>
      <c r="I74" s="15">
        <f t="shared" si="5"/>
        <v>12</v>
      </c>
      <c r="J74" s="16">
        <f t="shared" si="8"/>
        <v>28</v>
      </c>
      <c r="K74" s="28"/>
      <c r="L74" s="28"/>
      <c r="M74" s="28"/>
      <c r="N74" s="36">
        <f t="shared" si="9"/>
        <v>28</v>
      </c>
      <c r="O74" s="9"/>
      <c r="P74" s="59"/>
    </row>
    <row r="75" ht="18" customHeight="1" spans="1:16">
      <c r="A75" s="9">
        <v>73</v>
      </c>
      <c r="B75" s="12"/>
      <c r="C75" s="22" t="s">
        <v>92</v>
      </c>
      <c r="D75" s="27"/>
      <c r="E75" s="23">
        <v>2</v>
      </c>
      <c r="F75" s="23">
        <v>4</v>
      </c>
      <c r="G75" s="28">
        <f t="shared" si="6"/>
        <v>0.8</v>
      </c>
      <c r="H75" s="23">
        <f t="shared" si="7"/>
        <v>6</v>
      </c>
      <c r="I75" s="15">
        <f t="shared" si="5"/>
        <v>6</v>
      </c>
      <c r="J75" s="16">
        <f t="shared" si="8"/>
        <v>14.8</v>
      </c>
      <c r="K75" s="28"/>
      <c r="L75" s="28"/>
      <c r="N75" s="36">
        <f t="shared" si="9"/>
        <v>14.8</v>
      </c>
      <c r="O75" s="9"/>
      <c r="P75" s="59"/>
    </row>
    <row r="76" ht="18" customHeight="1" spans="1:16">
      <c r="A76" s="9">
        <v>74</v>
      </c>
      <c r="B76" s="12"/>
      <c r="C76" s="24" t="s">
        <v>93</v>
      </c>
      <c r="D76" s="27"/>
      <c r="E76" s="23">
        <v>2</v>
      </c>
      <c r="F76" s="23">
        <v>2</v>
      </c>
      <c r="G76" s="28">
        <f t="shared" si="6"/>
        <v>0.4</v>
      </c>
      <c r="H76" s="23">
        <f t="shared" si="7"/>
        <v>4</v>
      </c>
      <c r="I76" s="15">
        <f t="shared" si="5"/>
        <v>4</v>
      </c>
      <c r="J76" s="16">
        <f t="shared" si="8"/>
        <v>10.4</v>
      </c>
      <c r="K76" s="28"/>
      <c r="L76" s="28"/>
      <c r="M76" s="28">
        <v>2</v>
      </c>
      <c r="N76" s="36">
        <f>SUM(J76:M76)+J77</f>
        <v>22.8</v>
      </c>
      <c r="O76" s="9"/>
      <c r="P76" s="9"/>
    </row>
    <row r="77" ht="18" customHeight="1" spans="1:16">
      <c r="A77" s="9"/>
      <c r="B77" s="12"/>
      <c r="C77" s="49"/>
      <c r="D77" s="27"/>
      <c r="E77" s="23">
        <v>2</v>
      </c>
      <c r="F77" s="23">
        <v>2</v>
      </c>
      <c r="G77" s="28">
        <f t="shared" si="6"/>
        <v>0.4</v>
      </c>
      <c r="H77" s="23">
        <f t="shared" si="7"/>
        <v>4</v>
      </c>
      <c r="I77" s="15">
        <f t="shared" si="5"/>
        <v>4</v>
      </c>
      <c r="J77" s="16">
        <f t="shared" si="8"/>
        <v>10.4</v>
      </c>
      <c r="K77" s="28"/>
      <c r="L77" s="28"/>
      <c r="M77" s="28"/>
      <c r="N77" s="36"/>
      <c r="O77" s="9"/>
      <c r="P77" s="9"/>
    </row>
    <row r="78" ht="18" customHeight="1" spans="1:16">
      <c r="A78" s="9">
        <v>75</v>
      </c>
      <c r="B78" s="12"/>
      <c r="C78" s="25" t="s">
        <v>94</v>
      </c>
      <c r="D78" s="27"/>
      <c r="E78" s="23">
        <v>5</v>
      </c>
      <c r="F78" s="23">
        <v>5</v>
      </c>
      <c r="G78" s="28">
        <f t="shared" si="6"/>
        <v>1</v>
      </c>
      <c r="H78" s="23">
        <f t="shared" si="7"/>
        <v>10</v>
      </c>
      <c r="I78" s="15">
        <f t="shared" si="5"/>
        <v>10</v>
      </c>
      <c r="J78" s="16">
        <f t="shared" si="8"/>
        <v>26</v>
      </c>
      <c r="K78" s="16"/>
      <c r="L78" s="16"/>
      <c r="M78" s="16"/>
      <c r="N78" s="36">
        <f t="shared" ref="N78:N85" si="10">SUM(J78:M78)</f>
        <v>26</v>
      </c>
      <c r="O78" s="9"/>
      <c r="P78" s="9"/>
    </row>
    <row r="79" ht="18" customHeight="1" spans="1:16">
      <c r="A79" s="9">
        <v>76</v>
      </c>
      <c r="B79" s="12"/>
      <c r="C79" s="19" t="s">
        <v>95</v>
      </c>
      <c r="D79" s="27"/>
      <c r="E79" s="23">
        <v>5</v>
      </c>
      <c r="F79" s="23">
        <v>5</v>
      </c>
      <c r="G79" s="28">
        <f t="shared" si="6"/>
        <v>1</v>
      </c>
      <c r="H79" s="23">
        <f t="shared" si="7"/>
        <v>10</v>
      </c>
      <c r="I79" s="15">
        <f t="shared" si="5"/>
        <v>10</v>
      </c>
      <c r="J79" s="16">
        <f t="shared" si="8"/>
        <v>26</v>
      </c>
      <c r="K79" s="41"/>
      <c r="L79" s="41"/>
      <c r="M79" s="41"/>
      <c r="N79" s="36">
        <f t="shared" si="10"/>
        <v>26</v>
      </c>
      <c r="O79" s="9"/>
      <c r="P79" s="9"/>
    </row>
    <row r="80" ht="18" customHeight="1" spans="1:16">
      <c r="A80" s="9">
        <v>77</v>
      </c>
      <c r="C80" s="22" t="s">
        <v>96</v>
      </c>
      <c r="D80" s="27"/>
      <c r="E80" s="23">
        <v>2</v>
      </c>
      <c r="F80" s="23">
        <v>10</v>
      </c>
      <c r="G80" s="28">
        <f t="shared" si="6"/>
        <v>2</v>
      </c>
      <c r="H80" s="23">
        <f t="shared" si="7"/>
        <v>12</v>
      </c>
      <c r="I80" s="15">
        <f t="shared" si="5"/>
        <v>12</v>
      </c>
      <c r="J80" s="16">
        <f t="shared" si="8"/>
        <v>28</v>
      </c>
      <c r="K80" s="41"/>
      <c r="L80" s="41"/>
      <c r="M80" s="41"/>
      <c r="N80" s="36">
        <f t="shared" si="10"/>
        <v>28</v>
      </c>
      <c r="O80" s="9"/>
      <c r="P80" s="9"/>
    </row>
    <row r="81" ht="18" customHeight="1" spans="1:16">
      <c r="A81" s="9">
        <v>78</v>
      </c>
      <c r="C81" s="24" t="s">
        <v>97</v>
      </c>
      <c r="D81" s="27"/>
      <c r="E81" s="23">
        <v>2</v>
      </c>
      <c r="F81" s="23">
        <v>8</v>
      </c>
      <c r="G81" s="28">
        <f t="shared" si="6"/>
        <v>1.6</v>
      </c>
      <c r="H81" s="23">
        <f t="shared" si="7"/>
        <v>10</v>
      </c>
      <c r="I81" s="15">
        <f t="shared" si="5"/>
        <v>10</v>
      </c>
      <c r="J81" s="16">
        <f t="shared" si="8"/>
        <v>23.6</v>
      </c>
      <c r="K81" s="41"/>
      <c r="L81" s="41"/>
      <c r="M81" s="41"/>
      <c r="N81" s="36">
        <f t="shared" si="10"/>
        <v>23.6</v>
      </c>
      <c r="O81" s="9"/>
      <c r="P81" s="9"/>
    </row>
    <row r="82" ht="18" customHeight="1" spans="1:16">
      <c r="A82" s="9">
        <v>79</v>
      </c>
      <c r="C82" s="26" t="s">
        <v>98</v>
      </c>
      <c r="D82" s="27"/>
      <c r="E82" s="23">
        <v>4</v>
      </c>
      <c r="F82" s="23">
        <v>4</v>
      </c>
      <c r="G82" s="28">
        <f t="shared" si="6"/>
        <v>0.8</v>
      </c>
      <c r="H82" s="23">
        <f t="shared" si="7"/>
        <v>8</v>
      </c>
      <c r="I82" s="15">
        <f t="shared" si="5"/>
        <v>8</v>
      </c>
      <c r="J82" s="16">
        <f t="shared" si="8"/>
        <v>20.8</v>
      </c>
      <c r="K82" s="41"/>
      <c r="L82" s="41"/>
      <c r="M82" s="41"/>
      <c r="N82" s="36">
        <f t="shared" si="10"/>
        <v>20.8</v>
      </c>
      <c r="O82" s="9"/>
      <c r="P82" s="9"/>
    </row>
    <row r="83" ht="18" customHeight="1" spans="1:16">
      <c r="A83" s="9">
        <v>80</v>
      </c>
      <c r="C83" s="25" t="s">
        <v>99</v>
      </c>
      <c r="D83" s="27"/>
      <c r="E83" s="23">
        <v>4</v>
      </c>
      <c r="F83" s="23">
        <v>4</v>
      </c>
      <c r="G83" s="28">
        <f t="shared" si="6"/>
        <v>0.8</v>
      </c>
      <c r="H83" s="23">
        <f t="shared" si="7"/>
        <v>8</v>
      </c>
      <c r="I83" s="15">
        <f t="shared" si="5"/>
        <v>8</v>
      </c>
      <c r="J83" s="16">
        <f t="shared" si="8"/>
        <v>20.8</v>
      </c>
      <c r="K83" s="41"/>
      <c r="L83" s="41"/>
      <c r="M83" s="41"/>
      <c r="N83" s="36">
        <f t="shared" si="10"/>
        <v>20.8</v>
      </c>
      <c r="O83" s="9"/>
      <c r="P83" s="9"/>
    </row>
    <row r="84" ht="18" customHeight="1" spans="1:16">
      <c r="A84" s="9">
        <v>81</v>
      </c>
      <c r="C84" s="19" t="s">
        <v>100</v>
      </c>
      <c r="D84" s="50"/>
      <c r="E84" s="23">
        <v>5</v>
      </c>
      <c r="F84" s="23">
        <v>5</v>
      </c>
      <c r="G84" s="28">
        <f t="shared" si="6"/>
        <v>1</v>
      </c>
      <c r="H84" s="23">
        <f t="shared" si="7"/>
        <v>10</v>
      </c>
      <c r="I84" s="15">
        <f t="shared" si="5"/>
        <v>10</v>
      </c>
      <c r="J84" s="16">
        <f t="shared" si="8"/>
        <v>26</v>
      </c>
      <c r="K84" s="16"/>
      <c r="L84" s="16"/>
      <c r="M84" s="16"/>
      <c r="N84" s="36">
        <f t="shared" si="10"/>
        <v>26</v>
      </c>
      <c r="O84" s="9"/>
      <c r="P84" s="9"/>
    </row>
    <row r="85" ht="18" customHeight="1" spans="1:16">
      <c r="A85" s="9">
        <v>82</v>
      </c>
      <c r="C85" s="22" t="s">
        <v>101</v>
      </c>
      <c r="D85" s="50"/>
      <c r="E85" s="23">
        <v>2</v>
      </c>
      <c r="F85" s="23">
        <v>8</v>
      </c>
      <c r="G85" s="28">
        <f t="shared" si="6"/>
        <v>1.6</v>
      </c>
      <c r="H85" s="23">
        <f t="shared" si="7"/>
        <v>10</v>
      </c>
      <c r="I85" s="15">
        <v>0</v>
      </c>
      <c r="J85" s="16">
        <f t="shared" si="8"/>
        <v>13.6</v>
      </c>
      <c r="K85" s="16"/>
      <c r="L85" s="16">
        <v>5</v>
      </c>
      <c r="M85" s="16"/>
      <c r="N85" s="36">
        <f t="shared" si="10"/>
        <v>18.6</v>
      </c>
      <c r="O85" s="9"/>
      <c r="P85" s="9"/>
    </row>
    <row r="86" ht="18" customHeight="1" spans="1:16">
      <c r="A86" s="9">
        <v>83</v>
      </c>
      <c r="C86" s="19" t="s">
        <v>102</v>
      </c>
      <c r="D86" s="50"/>
      <c r="E86" s="23">
        <v>2</v>
      </c>
      <c r="F86" s="23">
        <v>6</v>
      </c>
      <c r="G86" s="28">
        <f t="shared" si="6"/>
        <v>1.2</v>
      </c>
      <c r="H86" s="23">
        <f t="shared" si="7"/>
        <v>8</v>
      </c>
      <c r="I86" s="15">
        <v>0</v>
      </c>
      <c r="J86" s="16">
        <f t="shared" si="8"/>
        <v>11.2</v>
      </c>
      <c r="K86" s="16"/>
      <c r="L86" s="16">
        <v>5</v>
      </c>
      <c r="M86" s="16">
        <v>2</v>
      </c>
      <c r="N86" s="36">
        <f>SUM(J86:M86)+J87</f>
        <v>27.2</v>
      </c>
      <c r="O86" s="9"/>
      <c r="P86" s="9"/>
    </row>
    <row r="87" ht="18" customHeight="1" spans="1:16">
      <c r="A87" s="9"/>
      <c r="C87" s="19"/>
      <c r="D87" s="50"/>
      <c r="E87" s="23">
        <v>1</v>
      </c>
      <c r="F87" s="23">
        <v>5</v>
      </c>
      <c r="G87" s="28">
        <f t="shared" si="6"/>
        <v>1</v>
      </c>
      <c r="H87" s="23">
        <f t="shared" si="7"/>
        <v>6</v>
      </c>
      <c r="I87" s="15">
        <v>1</v>
      </c>
      <c r="J87" s="16">
        <f t="shared" si="8"/>
        <v>9</v>
      </c>
      <c r="K87" s="16"/>
      <c r="L87" s="16"/>
      <c r="M87" s="16"/>
      <c r="N87" s="36"/>
      <c r="O87" s="9"/>
      <c r="P87" s="9"/>
    </row>
    <row r="88" ht="18" customHeight="1" spans="1:16">
      <c r="A88" s="9">
        <v>84</v>
      </c>
      <c r="C88" s="24" t="s">
        <v>103</v>
      </c>
      <c r="D88" s="50"/>
      <c r="E88" s="23">
        <v>2</v>
      </c>
      <c r="F88" s="23">
        <v>2</v>
      </c>
      <c r="G88" s="28">
        <f t="shared" si="6"/>
        <v>0.4</v>
      </c>
      <c r="H88" s="23">
        <f t="shared" si="7"/>
        <v>4</v>
      </c>
      <c r="I88" s="15">
        <v>0</v>
      </c>
      <c r="J88" s="16">
        <f t="shared" si="8"/>
        <v>6.4</v>
      </c>
      <c r="K88" s="41"/>
      <c r="L88" s="41">
        <v>5</v>
      </c>
      <c r="M88" s="16">
        <v>2</v>
      </c>
      <c r="N88" s="36">
        <f>SUM(J88:M88)+J89</f>
        <v>30.4</v>
      </c>
      <c r="O88" s="9"/>
      <c r="P88" s="9"/>
    </row>
    <row r="89" ht="18" customHeight="1" spans="1:16">
      <c r="A89" s="9"/>
      <c r="C89" s="22"/>
      <c r="D89" s="50"/>
      <c r="E89" s="23">
        <v>2</v>
      </c>
      <c r="F89" s="23">
        <v>10</v>
      </c>
      <c r="G89" s="28">
        <f t="shared" si="6"/>
        <v>2</v>
      </c>
      <c r="H89" s="23">
        <f t="shared" si="7"/>
        <v>12</v>
      </c>
      <c r="I89" s="15">
        <v>1</v>
      </c>
      <c r="J89" s="16">
        <f t="shared" si="8"/>
        <v>17</v>
      </c>
      <c r="K89" s="41"/>
      <c r="L89" s="41"/>
      <c r="M89" s="41"/>
      <c r="N89" s="36"/>
      <c r="O89" s="9"/>
      <c r="P89" s="9"/>
    </row>
    <row r="90" ht="18" customHeight="1" spans="1:16">
      <c r="A90" s="9">
        <v>85</v>
      </c>
      <c r="C90" s="25" t="s">
        <v>104</v>
      </c>
      <c r="D90" s="50"/>
      <c r="E90" s="23">
        <v>2</v>
      </c>
      <c r="F90" s="23">
        <v>2</v>
      </c>
      <c r="G90" s="28">
        <f t="shared" si="6"/>
        <v>0.4</v>
      </c>
      <c r="H90" s="23">
        <f t="shared" si="7"/>
        <v>4</v>
      </c>
      <c r="I90" s="15">
        <v>0</v>
      </c>
      <c r="J90" s="16">
        <f t="shared" si="8"/>
        <v>6.4</v>
      </c>
      <c r="K90" s="41"/>
      <c r="L90" s="41">
        <v>5</v>
      </c>
      <c r="M90" s="41"/>
      <c r="N90" s="36">
        <f t="shared" ref="N90:N93" si="11">SUM(J90:M90)</f>
        <v>11.4</v>
      </c>
      <c r="O90" s="9"/>
      <c r="P90" s="9"/>
    </row>
    <row r="91" ht="18" customHeight="1" spans="1:16">
      <c r="A91" s="9">
        <v>86</v>
      </c>
      <c r="B91" s="9"/>
      <c r="C91" s="22" t="s">
        <v>105</v>
      </c>
      <c r="D91" s="50"/>
      <c r="E91" s="23">
        <v>1</v>
      </c>
      <c r="F91" s="23">
        <v>10</v>
      </c>
      <c r="G91" s="28">
        <f t="shared" si="6"/>
        <v>2</v>
      </c>
      <c r="H91" s="23">
        <f t="shared" si="7"/>
        <v>11</v>
      </c>
      <c r="I91" s="46">
        <v>0</v>
      </c>
      <c r="J91" s="16">
        <f t="shared" si="8"/>
        <v>14</v>
      </c>
      <c r="K91" s="60"/>
      <c r="L91" s="51"/>
      <c r="M91" s="60"/>
      <c r="N91" s="36">
        <f t="shared" si="11"/>
        <v>14</v>
      </c>
      <c r="O91" s="9"/>
      <c r="P91" s="9"/>
    </row>
    <row r="92" ht="18" customHeight="1" spans="1:16">
      <c r="A92" s="9">
        <v>87</v>
      </c>
      <c r="B92" s="9"/>
      <c r="C92" s="22" t="s">
        <v>106</v>
      </c>
      <c r="D92" s="50"/>
      <c r="E92" s="23">
        <v>1</v>
      </c>
      <c r="F92" s="23">
        <v>10</v>
      </c>
      <c r="G92" s="28">
        <f t="shared" si="6"/>
        <v>2</v>
      </c>
      <c r="H92" s="23">
        <f t="shared" si="7"/>
        <v>11</v>
      </c>
      <c r="I92" s="46">
        <v>0</v>
      </c>
      <c r="J92" s="16">
        <f t="shared" si="8"/>
        <v>14</v>
      </c>
      <c r="K92" s="41">
        <v>2</v>
      </c>
      <c r="L92" s="51"/>
      <c r="M92" s="60"/>
      <c r="N92" s="36">
        <f t="shared" si="11"/>
        <v>16</v>
      </c>
      <c r="O92" s="9"/>
      <c r="P92" s="9"/>
    </row>
    <row r="93" ht="18" customHeight="1" spans="1:16">
      <c r="A93" s="9">
        <v>88</v>
      </c>
      <c r="B93" s="9"/>
      <c r="C93" s="25" t="s">
        <v>107</v>
      </c>
      <c r="D93" s="50"/>
      <c r="E93" s="23">
        <v>0</v>
      </c>
      <c r="F93" s="23">
        <v>0</v>
      </c>
      <c r="G93" s="28">
        <f t="shared" si="6"/>
        <v>0</v>
      </c>
      <c r="H93" s="23">
        <f t="shared" si="7"/>
        <v>0</v>
      </c>
      <c r="I93" s="46">
        <v>0</v>
      </c>
      <c r="J93" s="16">
        <f t="shared" si="8"/>
        <v>0</v>
      </c>
      <c r="K93" s="41">
        <v>4</v>
      </c>
      <c r="L93" s="51"/>
      <c r="M93" s="60"/>
      <c r="N93" s="36">
        <f t="shared" si="11"/>
        <v>4</v>
      </c>
      <c r="O93" s="9"/>
      <c r="P93" s="9"/>
    </row>
    <row r="94" ht="18" customHeight="1" spans="1:16">
      <c r="A94" s="9"/>
      <c r="B94" s="10" t="s">
        <v>1</v>
      </c>
      <c r="C94" s="51"/>
      <c r="D94" s="11"/>
      <c r="E94" s="10" t="s">
        <v>3</v>
      </c>
      <c r="F94" s="10" t="s">
        <v>4</v>
      </c>
      <c r="G94" s="10" t="s">
        <v>5</v>
      </c>
      <c r="H94" s="10" t="s">
        <v>6</v>
      </c>
      <c r="I94" s="10" t="s">
        <v>7</v>
      </c>
      <c r="J94" s="10" t="s">
        <v>8</v>
      </c>
      <c r="K94" s="10" t="s">
        <v>9</v>
      </c>
      <c r="L94" s="10"/>
      <c r="M94" s="10" t="s">
        <v>11</v>
      </c>
      <c r="N94" s="10" t="s">
        <v>12</v>
      </c>
      <c r="O94" s="9"/>
      <c r="P94" s="9"/>
    </row>
    <row r="95" ht="18" customHeight="1" spans="1:16">
      <c r="A95" s="52"/>
      <c r="B95" s="53"/>
      <c r="C95" s="54"/>
      <c r="D95" s="55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2"/>
      <c r="P95" s="52"/>
    </row>
    <row r="96" ht="17.4" spans="6:9">
      <c r="F96" s="56" t="s">
        <v>108</v>
      </c>
      <c r="G96" s="57"/>
      <c r="H96" s="56"/>
      <c r="I96" s="56"/>
    </row>
  </sheetData>
  <mergeCells count="1">
    <mergeCell ref="A1:N1"/>
  </mergeCells>
  <pageMargins left="0.7" right="0.7" top="0.75" bottom="0.75" header="0.3" footer="0.3"/>
  <pageSetup paperSize="9" scale="7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2023-10-20T16:36:16Z</dcterms:created>
  <dcterms:modified xsi:type="dcterms:W3CDTF">2023-10-20T16:36:40Z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ABE12F6F88394B89B5D5669D4BE69EF6_11</vt:lpwstr>
  </property>
  <property fmtid="{D5CDD505-2E9C-101B-9397-08002B2CF9AE}" pid="3" name="KSOProductBuildVer">
    <vt:lpwstr>2052-12.1.0.15374</vt:lpwstr>
  </property>
</Properties>
</file>